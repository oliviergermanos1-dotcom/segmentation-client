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" yWindow="20" windowWidth="19180" windowHeight="10060" tabRatio="600" firstSheet="7" autoFilterDateGrouping="1"/>
  </bookViews>
  <sheets>
    <sheet name="PROGRAMME 2014" sheetId="1" state="hidden" r:id="rId1"/>
    <sheet name="SOA Envoyés" sheetId="2" state="hidden" r:id="rId2"/>
    <sheet name="Représentations" sheetId="3" state="hidden" r:id="rId3"/>
    <sheet name="Evolution clients" sheetId="4" state="visible" r:id="rId4"/>
  </sheets>
  <externalReferences>
    <externalReference r:id="rId5"/>
  </externalReferences>
  <definedNames>
    <definedName name="_xlnm.Print_Area" localSheetId="2">'Représentations'!$A$2:$M$105</definedName>
  </definedNames>
  <calcPr calcId="191029" fullCalcOnLoad="1"/>
</workbook>
</file>

<file path=xl/styles.xml><?xml version="1.0" encoding="utf-8"?>
<styleSheet xmlns="http://schemas.openxmlformats.org/spreadsheetml/2006/main">
  <numFmts count="12">
    <numFmt numFmtId="164" formatCode="_-* #,##0\ _€_-;\-* #,##0\ _€_-;_-* &quot;-&quot;??\ _€_-;_-@_-"/>
    <numFmt numFmtId="165" formatCode="0.0%"/>
    <numFmt numFmtId="166" formatCode="#,##0_ ;[Red]\-#,##0\ "/>
    <numFmt numFmtId="167" formatCode="_-* #,##0\ _€_-;\-* #,##0\ _€_-;_-* &quot;-&quot;?\ _€_-;_-@_-"/>
    <numFmt numFmtId="168" formatCode="_-* #,##0\ [$XOF]_-;\-* #,##0\ [$XOF]_-;_-* &quot;-&quot;\ [$XOF]_-;_-@_-"/>
    <numFmt numFmtId="169" formatCode="_-* #,##0.00\ _€_-;\-* #,##0.00\ _€_-;_-* &quot;-&quot;??\ _€_-;_-@_-"/>
    <numFmt numFmtId="170" formatCode="_-* #,##0.000\ _€_-;\-* #,##0.000\ _€_-;_-* &quot;-&quot;??\ _€_-;_-@_-"/>
    <numFmt numFmtId="171" formatCode="#,##0\ [$XOF];\-#,##0\ [$XOF]"/>
    <numFmt numFmtId="172" formatCode="#,##0\ _€"/>
    <numFmt numFmtId="173" formatCode="_-* #,##0\ [$€-40C]_-;\-* #,##0\ [$€-40C]_-;_-* &quot;-&quot;??\ [$€-40C]_-;_-@_-"/>
    <numFmt numFmtId="174" formatCode="#,##0;[Red]#,##0"/>
    <numFmt numFmtId="175" formatCode="_-* #,##0_-;\-* #,##0_-;_-* &quot;-&quot;_-;_-@_-"/>
  </numFmts>
  <fonts count="5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2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rgb="FFFF0000"/>
      <sz val="14"/>
      <scheme val="minor"/>
    </font>
    <font>
      <name val="Calibri"/>
      <family val="2"/>
      <b val="1"/>
      <sz val="11"/>
      <scheme val="minor"/>
    </font>
    <font>
      <name val="Calibri"/>
      <family val="2"/>
      <b val="1"/>
      <color rgb="FFFF0000"/>
      <sz val="12"/>
      <scheme val="minor"/>
    </font>
    <font>
      <name val="Calibri"/>
      <family val="2"/>
      <b val="1"/>
      <color theme="1"/>
      <sz val="14"/>
      <scheme val="minor"/>
    </font>
    <font>
      <name val="Arial"/>
      <family val="2"/>
      <sz val="10"/>
    </font>
    <font>
      <name val="Calibri"/>
      <family val="2"/>
      <color theme="0" tint="-0.499984740745262"/>
      <sz val="11"/>
      <scheme val="minor"/>
    </font>
    <font>
      <name val="Calibri"/>
      <family val="2"/>
      <b val="1"/>
      <color theme="0" tint="-0.499984740745262"/>
      <sz val="11"/>
      <scheme val="minor"/>
    </font>
    <font>
      <name val="Calibri"/>
      <family val="2"/>
      <color theme="1"/>
      <sz val="14"/>
      <scheme val="minor"/>
    </font>
    <font>
      <name val="Calibri"/>
      <family val="2"/>
      <color theme="1"/>
      <sz val="18"/>
      <scheme val="minor"/>
    </font>
    <font>
      <name val="Calibri"/>
      <family val="2"/>
      <color theme="1"/>
      <sz val="10"/>
      <scheme val="minor"/>
    </font>
    <font>
      <name val="Arial"/>
      <family val="2"/>
      <b val="1"/>
      <sz val="10"/>
    </font>
    <font>
      <name val="Calibri"/>
      <family val="2"/>
      <b val="1"/>
      <i val="1"/>
      <color theme="1"/>
      <sz val="14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color rgb="FFFF0000"/>
      <sz val="11"/>
      <scheme val="minor"/>
    </font>
    <font>
      <name val="Calibri"/>
      <family val="2"/>
      <sz val="11"/>
      <scheme val="minor"/>
    </font>
    <font>
      <name val="Arial"/>
      <family val="2"/>
      <color rgb="FFFF0000"/>
      <sz val="10"/>
    </font>
    <font>
      <name val="Calibri"/>
      <family val="2"/>
      <sz val="12"/>
      <scheme val="minor"/>
    </font>
    <font>
      <name val="Calibri"/>
      <family val="2"/>
      <b val="1"/>
      <color rgb="FF00B050"/>
      <sz val="14"/>
      <scheme val="minor"/>
    </font>
    <font>
      <name val="Calibri"/>
      <family val="2"/>
      <color rgb="FF00B050"/>
      <sz val="11"/>
      <scheme val="minor"/>
    </font>
    <font>
      <name val="Calibri"/>
      <family val="2"/>
      <b val="1"/>
      <color rgb="FF00B050"/>
      <sz val="11"/>
      <scheme val="minor"/>
    </font>
    <font>
      <name val="Calibri"/>
      <family val="2"/>
      <b val="1"/>
      <color theme="0" tint="-0.3499862666707358"/>
      <sz val="11"/>
      <scheme val="minor"/>
    </font>
    <font>
      <name val="Calibri"/>
      <family val="2"/>
      <b val="1"/>
      <sz val="14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color theme="1"/>
      <sz val="16"/>
      <scheme val="minor"/>
    </font>
    <font>
      <name val="Cambria"/>
      <family val="2"/>
      <b val="1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i val="1"/>
      <color theme="1"/>
      <sz val="10"/>
      <scheme val="minor"/>
    </font>
    <font>
      <name val="Calibri"/>
      <family val="2"/>
      <sz val="8"/>
      <scheme val="minor"/>
    </font>
    <font>
      <name val="Calibri"/>
      <family val="2"/>
      <color theme="1"/>
      <sz val="9"/>
      <scheme val="minor"/>
    </font>
    <font>
      <name val="Calibri"/>
      <family val="2"/>
      <b val="1"/>
      <color theme="0" tint="-0.3499862666707358"/>
      <sz val="9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color rgb="FF7030A0"/>
      <sz val="18"/>
      <scheme val="minor"/>
    </font>
    <font>
      <name val="Calibri"/>
      <family val="2"/>
      <b val="1"/>
      <color rgb="FF7030A0"/>
      <sz val="16"/>
      <scheme val="minor"/>
    </font>
  </fonts>
  <fills count="73">
    <fill>
      <patternFill/>
    </fill>
    <fill>
      <patternFill patternType="gray125"/>
    </fill>
    <fill>
      <patternFill patternType="solid">
        <fgColor theme="1" tint="0.1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3" tint="0.399975585192419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 tint="0.049989318521683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9"/>
        <bgColor indexed="64"/>
      </patternFill>
    </fill>
    <fill>
      <patternFill patternType="lightGrid">
        <fgColor theme="2" tint="-0.09991760002441481"/>
        <bgColor theme="0" tint="-0.249946592608417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lightTrellis">
        <fgColor auto="1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FFCC"/>
        <bgColor indexed="64"/>
      </patternFill>
    </fill>
  </fills>
  <borders count="10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 style="thin">
        <color theme="0"/>
      </bottom>
      <diagonal/>
    </border>
    <border>
      <left/>
      <right/>
      <top style="medium">
        <color indexed="64"/>
      </top>
      <bottom style="thin">
        <color theme="0"/>
      </bottom>
      <diagonal/>
    </border>
    <border>
      <left/>
      <right style="medium">
        <color indexed="64"/>
      </right>
      <top style="medium">
        <color indexed="64"/>
      </top>
      <bottom style="thin">
        <color theme="0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thin">
        <color indexed="23"/>
      </top>
      <bottom style="thin">
        <color indexed="23"/>
      </bottom>
      <diagonal/>
    </border>
    <border>
      <left style="hair">
        <color auto="1"/>
      </left>
      <right style="hair">
        <color auto="1"/>
      </right>
      <top/>
      <bottom style="thin">
        <color indexed="55"/>
      </bottom>
      <diagonal/>
    </border>
    <border>
      <left style="hair">
        <color indexed="64"/>
      </left>
      <right/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hair">
        <color indexed="64"/>
      </right>
      <top/>
      <bottom style="thin">
        <color indexed="23"/>
      </bottom>
      <diagonal/>
    </border>
    <border>
      <left style="hair">
        <color indexed="64"/>
      </left>
      <right style="hair">
        <color indexed="64"/>
      </right>
      <top/>
      <bottom style="thin">
        <color indexed="23"/>
      </bottom>
      <diagonal/>
    </border>
    <border>
      <left style="hair">
        <color indexed="64"/>
      </left>
      <right/>
      <top/>
      <bottom style="thin">
        <color indexed="23"/>
      </bottom>
      <diagonal/>
    </border>
    <border>
      <left style="thin">
        <color indexed="64"/>
      </left>
      <right style="medium">
        <color indexed="64"/>
      </right>
      <top/>
      <bottom style="thin">
        <color indexed="23"/>
      </bottom>
      <diagonal/>
    </border>
    <border>
      <left style="medium">
        <color indexed="64"/>
      </left>
      <right style="hair">
        <color indexed="64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medium">
        <color indexed="64"/>
      </right>
      <top style="thin">
        <color indexed="23"/>
      </top>
      <bottom style="thin">
        <color indexed="23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0"/>
      </bottom>
      <diagonal/>
    </border>
  </borders>
  <cellStyleXfs count="48">
    <xf numFmtId="0" fontId="1" fillId="0" borderId="0"/>
    <xf numFmtId="169" fontId="1" fillId="0" borderId="0"/>
    <xf numFmtId="9" fontId="1" fillId="0" borderId="0"/>
    <xf numFmtId="0" fontId="10" fillId="0" borderId="0"/>
    <xf numFmtId="0" fontId="31" fillId="0" borderId="0"/>
    <xf numFmtId="0" fontId="32" fillId="0" borderId="83"/>
    <xf numFmtId="0" fontId="33" fillId="0" borderId="84"/>
    <xf numFmtId="0" fontId="34" fillId="0" borderId="85"/>
    <xf numFmtId="0" fontId="34" fillId="0" borderId="0"/>
    <xf numFmtId="0" fontId="35" fillId="37" borderId="0"/>
    <xf numFmtId="0" fontId="36" fillId="38" borderId="0"/>
    <xf numFmtId="0" fontId="37" fillId="39" borderId="0"/>
    <xf numFmtId="0" fontId="38" fillId="40" borderId="86"/>
    <xf numFmtId="0" fontId="39" fillId="41" borderId="87"/>
    <xf numFmtId="0" fontId="40" fillId="41" borderId="86"/>
    <xf numFmtId="0" fontId="41" fillId="0" borderId="88"/>
    <xf numFmtId="0" fontId="42" fillId="42" borderId="89"/>
    <xf numFmtId="0" fontId="19" fillId="0" borderId="0"/>
    <xf numFmtId="0" fontId="1" fillId="43" borderId="90"/>
    <xf numFmtId="0" fontId="43" fillId="0" borderId="0"/>
    <xf numFmtId="0" fontId="2" fillId="0" borderId="91"/>
    <xf numFmtId="0" fontId="44" fillId="44" borderId="0"/>
    <xf numFmtId="0" fontId="1" fillId="45" borderId="0"/>
    <xf numFmtId="0" fontId="1" fillId="46" borderId="0"/>
    <xf numFmtId="0" fontId="44" fillId="47" borderId="0"/>
    <xf numFmtId="0" fontId="44" fillId="48" borderId="0"/>
    <xf numFmtId="0" fontId="1" fillId="49" borderId="0"/>
    <xf numFmtId="0" fontId="1" fillId="50" borderId="0"/>
    <xf numFmtId="0" fontId="44" fillId="51" borderId="0"/>
    <xf numFmtId="0" fontId="44" fillId="52" borderId="0"/>
    <xf numFmtId="0" fontId="1" fillId="53" borderId="0"/>
    <xf numFmtId="0" fontId="1" fillId="54" borderId="0"/>
    <xf numFmtId="0" fontId="44" fillId="55" borderId="0"/>
    <xf numFmtId="0" fontId="44" fillId="56" borderId="0"/>
    <xf numFmtId="0" fontId="1" fillId="57" borderId="0"/>
    <xf numFmtId="0" fontId="1" fillId="58" borderId="0"/>
    <xf numFmtId="0" fontId="44" fillId="59" borderId="0"/>
    <xf numFmtId="0" fontId="44" fillId="60" borderId="0"/>
    <xf numFmtId="0" fontId="1" fillId="61" borderId="0"/>
    <xf numFmtId="0" fontId="1" fillId="62" borderId="0"/>
    <xf numFmtId="0" fontId="44" fillId="63" borderId="0"/>
    <xf numFmtId="0" fontId="44" fillId="64" borderId="0"/>
    <xf numFmtId="0" fontId="1" fillId="65" borderId="0"/>
    <xf numFmtId="0" fontId="1" fillId="66" borderId="0"/>
    <xf numFmtId="0" fontId="44" fillId="67" borderId="0"/>
    <xf numFmtId="0" fontId="10" fillId="0" borderId="0"/>
    <xf numFmtId="0" fontId="1" fillId="0" borderId="0"/>
    <xf numFmtId="41" fontId="1" fillId="0" borderId="0"/>
  </cellStyleXfs>
  <cellXfs count="1044">
    <xf numFmtId="0" fontId="0" fillId="0" borderId="0" pivotButton="0" quotePrefix="0" xfId="0"/>
    <xf numFmtId="164" fontId="0" fillId="0" borderId="0" pivotButton="0" quotePrefix="0" xfId="1"/>
    <xf numFmtId="0" fontId="0" fillId="0" borderId="6" pivotButton="0" quotePrefix="0" xfId="0"/>
    <xf numFmtId="164" fontId="0" fillId="3" borderId="6" pivotButton="0" quotePrefix="0" xfId="1"/>
    <xf numFmtId="164" fontId="0" fillId="0" borderId="6" pivotButton="0" quotePrefix="0" xfId="1"/>
    <xf numFmtId="0" fontId="0" fillId="6" borderId="0" pivotButton="0" quotePrefix="0" xfId="0"/>
    <xf numFmtId="164" fontId="0" fillId="0" borderId="0" pivotButton="0" quotePrefix="0" xfId="0"/>
    <xf numFmtId="164" fontId="2" fillId="9" borderId="6" pivotButton="0" quotePrefix="0" xfId="1"/>
    <xf numFmtId="0" fontId="2" fillId="5" borderId="3" pivotButton="0" quotePrefix="0" xfId="0"/>
    <xf numFmtId="164" fontId="2" fillId="5" borderId="6" pivotButton="0" quotePrefix="0" xfId="0"/>
    <xf numFmtId="0" fontId="9" fillId="7" borderId="16" pivotButton="0" quotePrefix="0" xfId="0"/>
    <xf numFmtId="164" fontId="9" fillId="7" borderId="7" pivotButton="0" quotePrefix="0" xfId="1"/>
    <xf numFmtId="0" fontId="9" fillId="7" borderId="7" pivotButton="0" quotePrefix="0" xfId="0"/>
    <xf numFmtId="0" fontId="5" fillId="5" borderId="9" pivotButton="0" quotePrefix="0" xfId="0"/>
    <xf numFmtId="164" fontId="6" fillId="0" borderId="0" applyAlignment="1" pivotButton="0" quotePrefix="0" xfId="1">
      <alignment horizontal="center"/>
    </xf>
    <xf numFmtId="0" fontId="0" fillId="10" borderId="18" pivotButton="0" quotePrefix="0" xfId="0"/>
    <xf numFmtId="0" fontId="0" fillId="5" borderId="20" pivotButton="0" quotePrefix="0" xfId="0"/>
    <xf numFmtId="0" fontId="0" fillId="0" borderId="5" pivotButton="0" quotePrefix="0" xfId="0"/>
    <xf numFmtId="0" fontId="0" fillId="12" borderId="2" pivotButton="0" quotePrefix="0" xfId="0"/>
    <xf numFmtId="164" fontId="0" fillId="9" borderId="16" pivotButton="0" quotePrefix="0" xfId="1"/>
    <xf numFmtId="0" fontId="0" fillId="12" borderId="7" pivotButton="0" quotePrefix="0" xfId="0"/>
    <xf numFmtId="164" fontId="0" fillId="0" borderId="7" pivotButton="0" quotePrefix="0" xfId="1"/>
    <xf numFmtId="164" fontId="0" fillId="9" borderId="26" pivotButton="0" quotePrefix="0" xfId="1"/>
    <xf numFmtId="3" fontId="10" fillId="12" borderId="30" pivotButton="0" quotePrefix="0" xfId="0"/>
    <xf numFmtId="164" fontId="0" fillId="9" borderId="28" pivotButton="0" quotePrefix="0" xfId="1"/>
    <xf numFmtId="0" fontId="0" fillId="12" borderId="29" pivotButton="0" quotePrefix="0" xfId="0"/>
    <xf numFmtId="164" fontId="0" fillId="0" borderId="29" pivotButton="0" quotePrefix="0" xfId="1"/>
    <xf numFmtId="164" fontId="0" fillId="9" borderId="31" pivotButton="0" quotePrefix="0" xfId="1"/>
    <xf numFmtId="0" fontId="0" fillId="0" borderId="33" pivotButton="0" quotePrefix="0" xfId="0"/>
    <xf numFmtId="0" fontId="0" fillId="5" borderId="6" pivotButton="0" quotePrefix="0" xfId="0"/>
    <xf numFmtId="3" fontId="10" fillId="12" borderId="35" applyAlignment="1" pivotButton="0" quotePrefix="0" xfId="0">
      <alignment horizontal="right"/>
    </xf>
    <xf numFmtId="164" fontId="0" fillId="9" borderId="33" pivotButton="0" quotePrefix="0" xfId="1"/>
    <xf numFmtId="0" fontId="0" fillId="12" borderId="6" pivotButton="0" quotePrefix="0" xfId="0"/>
    <xf numFmtId="164" fontId="0" fillId="0" borderId="6" pivotButton="0" quotePrefix="0" xfId="1"/>
    <xf numFmtId="164" fontId="0" fillId="9" borderId="36" pivotButton="0" quotePrefix="0" xfId="1"/>
    <xf numFmtId="3" fontId="10" fillId="12" borderId="35" pivotButton="0" quotePrefix="0" xfId="0"/>
    <xf numFmtId="0" fontId="0" fillId="10" borderId="33" pivotButton="0" quotePrefix="0" xfId="0"/>
    <xf numFmtId="0" fontId="0" fillId="10" borderId="6" pivotButton="0" quotePrefix="0" xfId="0"/>
    <xf numFmtId="0" fontId="0" fillId="12" borderId="35" pivotButton="0" quotePrefix="0" xfId="0"/>
    <xf numFmtId="0" fontId="0" fillId="5" borderId="33" pivotButton="0" quotePrefix="0" xfId="0"/>
    <xf numFmtId="0" fontId="0" fillId="0" borderId="14" pivotButton="0" quotePrefix="0" xfId="0"/>
    <xf numFmtId="0" fontId="0" fillId="0" borderId="10" pivotButton="0" quotePrefix="0" xfId="0"/>
    <xf numFmtId="0" fontId="0" fillId="12" borderId="37" pivotButton="0" quotePrefix="0" xfId="0"/>
    <xf numFmtId="164" fontId="0" fillId="9" borderId="14" pivotButton="0" quotePrefix="0" xfId="1"/>
    <xf numFmtId="0" fontId="0" fillId="12" borderId="10" pivotButton="0" quotePrefix="0" xfId="0"/>
    <xf numFmtId="164" fontId="0" fillId="0" borderId="10" pivotButton="0" quotePrefix="0" xfId="1"/>
    <xf numFmtId="164" fontId="0" fillId="9" borderId="38" pivotButton="0" quotePrefix="0" xfId="1"/>
    <xf numFmtId="0" fontId="8" fillId="9" borderId="16" pivotButton="0" quotePrefix="0" xfId="0"/>
    <xf numFmtId="0" fontId="8" fillId="9" borderId="7" pivotButton="0" quotePrefix="0" xfId="0"/>
    <xf numFmtId="0" fontId="8" fillId="9" borderId="2" pivotButton="0" quotePrefix="0" xfId="0"/>
    <xf numFmtId="164" fontId="8" fillId="9" borderId="16" pivotButton="0" quotePrefix="0" xfId="1"/>
    <xf numFmtId="164" fontId="8" fillId="9" borderId="7" pivotButton="0" quotePrefix="0" xfId="1"/>
    <xf numFmtId="164" fontId="8" fillId="9" borderId="17" pivotButton="0" quotePrefix="0" xfId="1"/>
    <xf numFmtId="164" fontId="0" fillId="12" borderId="29" pivotButton="0" quotePrefix="0" xfId="1"/>
    <xf numFmtId="164" fontId="0" fillId="9" borderId="6" pivotButton="0" quotePrefix="0" xfId="1"/>
    <xf numFmtId="164" fontId="5" fillId="5" borderId="0" pivotButton="0" quotePrefix="0" xfId="0"/>
    <xf numFmtId="0" fontId="0" fillId="0" borderId="0" applyAlignment="1" pivotButton="0" quotePrefix="0" xfId="0">
      <alignment wrapText="1"/>
    </xf>
    <xf numFmtId="0" fontId="0" fillId="0" borderId="9" pivotButton="0" quotePrefix="0" xfId="0"/>
    <xf numFmtId="0" fontId="0" fillId="0" borderId="44" pivotButton="0" quotePrefix="0" xfId="0"/>
    <xf numFmtId="0" fontId="0" fillId="0" borderId="41" pivotButton="0" quotePrefix="0" xfId="0"/>
    <xf numFmtId="0" fontId="0" fillId="0" borderId="45" pivotButton="0" quotePrefix="0" xfId="0"/>
    <xf numFmtId="0" fontId="0" fillId="0" borderId="42" pivotButton="0" quotePrefix="0" xfId="0"/>
    <xf numFmtId="0" fontId="0" fillId="12" borderId="9" pivotButton="0" quotePrefix="0" xfId="0"/>
    <xf numFmtId="0" fontId="0" fillId="12" borderId="0" pivotButton="0" quotePrefix="0" xfId="0"/>
    <xf numFmtId="0" fontId="0" fillId="12" borderId="44" pivotButton="0" quotePrefix="0" xfId="0"/>
    <xf numFmtId="164" fontId="0" fillId="0" borderId="0" pivotButton="0" quotePrefix="0" xfId="1"/>
    <xf numFmtId="0" fontId="0" fillId="0" borderId="0" applyAlignment="1" pivotButton="0" quotePrefix="0" xfId="0">
      <alignment horizontal="left" indent="1"/>
    </xf>
    <xf numFmtId="3" fontId="0" fillId="0" borderId="0" pivotButton="0" quotePrefix="0" xfId="0"/>
    <xf numFmtId="164" fontId="0" fillId="0" borderId="44" pivotButton="0" quotePrefix="0" xfId="0"/>
    <xf numFmtId="164" fontId="2" fillId="14" borderId="32" pivotButton="0" quotePrefix="0" xfId="1"/>
    <xf numFmtId="164" fontId="0" fillId="5" borderId="36" pivotButton="0" quotePrefix="0" xfId="1"/>
    <xf numFmtId="164" fontId="0" fillId="9" borderId="46" pivotButton="0" quotePrefix="0" xfId="1"/>
    <xf numFmtId="164" fontId="2" fillId="15" borderId="32" pivotButton="0" quotePrefix="0" xfId="1"/>
    <xf numFmtId="164" fontId="11" fillId="0" borderId="6" pivotButton="0" quotePrefix="0" xfId="1"/>
    <xf numFmtId="164" fontId="0" fillId="9" borderId="48" pivotButton="0" quotePrefix="0" xfId="1"/>
    <xf numFmtId="164" fontId="0" fillId="9" borderId="29" pivotButton="0" quotePrefix="0" xfId="1"/>
    <xf numFmtId="164" fontId="11" fillId="0" borderId="29" pivotButton="0" quotePrefix="0" xfId="1"/>
    <xf numFmtId="164" fontId="2" fillId="14" borderId="27" pivotButton="0" quotePrefix="0" xfId="1"/>
    <xf numFmtId="164" fontId="2" fillId="9" borderId="2" applyAlignment="1" pivotButton="0" quotePrefix="0" xfId="1">
      <alignment horizontal="center"/>
    </xf>
    <xf numFmtId="164" fontId="2" fillId="14" borderId="25" applyAlignment="1" pivotButton="0" quotePrefix="0" xfId="1">
      <alignment horizontal="center"/>
    </xf>
    <xf numFmtId="0" fontId="9" fillId="7" borderId="1" pivotButton="0" quotePrefix="0" xfId="0"/>
    <xf numFmtId="164" fontId="0" fillId="5" borderId="33" pivotButton="0" quotePrefix="0" xfId="1"/>
    <xf numFmtId="164" fontId="9" fillId="7" borderId="16" pivotButton="0" quotePrefix="0" xfId="1"/>
    <xf numFmtId="164" fontId="0" fillId="5" borderId="14" pivotButton="0" quotePrefix="0" xfId="1"/>
    <xf numFmtId="164" fontId="0" fillId="5" borderId="38" pivotButton="0" quotePrefix="0" xfId="1"/>
    <xf numFmtId="164" fontId="2" fillId="15" borderId="20" pivotButton="0" quotePrefix="0" xfId="1"/>
    <xf numFmtId="164" fontId="0" fillId="9" borderId="47" pivotButton="0" quotePrefix="0" xfId="1"/>
    <xf numFmtId="164" fontId="0" fillId="9" borderId="10" pivotButton="0" quotePrefix="0" xfId="1"/>
    <xf numFmtId="164" fontId="11" fillId="0" borderId="10" pivotButton="0" quotePrefix="0" xfId="1"/>
    <xf numFmtId="164" fontId="2" fillId="14" borderId="20" pivotButton="0" quotePrefix="0" xfId="1"/>
    <xf numFmtId="0" fontId="5" fillId="5" borderId="1" pivotButton="0" quotePrefix="0" xfId="0"/>
    <xf numFmtId="164" fontId="2" fillId="5" borderId="16" pivotButton="0" quotePrefix="0" xfId="1"/>
    <xf numFmtId="164" fontId="2" fillId="5" borderId="26" pivotButton="0" quotePrefix="0" xfId="1"/>
    <xf numFmtId="164" fontId="2" fillId="15" borderId="25" pivotButton="0" quotePrefix="0" xfId="1"/>
    <xf numFmtId="164" fontId="2" fillId="5" borderId="52" pivotButton="0" quotePrefix="0" xfId="1"/>
    <xf numFmtId="164" fontId="2" fillId="5" borderId="7" pivotButton="0" quotePrefix="0" xfId="1"/>
    <xf numFmtId="164" fontId="12" fillId="5" borderId="7" pivotButton="0" quotePrefix="0" xfId="1"/>
    <xf numFmtId="164" fontId="2" fillId="14" borderId="25" pivotButton="0" quotePrefix="0" xfId="1"/>
    <xf numFmtId="164" fontId="2" fillId="5" borderId="19" pivotButton="0" quotePrefix="0" xfId="1"/>
    <xf numFmtId="0" fontId="8" fillId="0" borderId="9" pivotButton="0" quotePrefix="0" xfId="0"/>
    <xf numFmtId="165" fontId="8" fillId="0" borderId="8" pivotButton="0" quotePrefix="0" xfId="2"/>
    <xf numFmtId="165" fontId="8" fillId="0" borderId="22" pivotButton="0" quotePrefix="0" xfId="2"/>
    <xf numFmtId="0" fontId="0" fillId="7" borderId="1" pivotButton="0" quotePrefix="0" xfId="0"/>
    <xf numFmtId="164" fontId="0" fillId="7" borderId="16" pivotButton="0" quotePrefix="0" xfId="1"/>
    <xf numFmtId="164" fontId="0" fillId="7" borderId="7" pivotButton="0" quotePrefix="0" xfId="0"/>
    <xf numFmtId="164" fontId="0" fillId="7" borderId="7" pivotButton="0" quotePrefix="0" xfId="1"/>
    <xf numFmtId="164" fontId="0" fillId="7" borderId="17" pivotButton="0" quotePrefix="0" xfId="1"/>
    <xf numFmtId="165" fontId="8" fillId="16" borderId="24" pivotButton="0" quotePrefix="0" xfId="2"/>
    <xf numFmtId="165" fontId="8" fillId="16" borderId="8" pivotButton="0" quotePrefix="0" xfId="2"/>
    <xf numFmtId="164" fontId="8" fillId="16" borderId="23" pivotButton="0" quotePrefix="0" xfId="1"/>
    <xf numFmtId="164" fontId="8" fillId="16" borderId="8" pivotButton="0" quotePrefix="0" xfId="0"/>
    <xf numFmtId="165" fontId="0" fillId="0" borderId="0" pivotButton="0" quotePrefix="0" xfId="2"/>
    <xf numFmtId="165" fontId="0" fillId="0" borderId="44" pivotButton="0" quotePrefix="0" xfId="2"/>
    <xf numFmtId="0" fontId="5" fillId="0" borderId="9" pivotButton="0" quotePrefix="0" xfId="0"/>
    <xf numFmtId="164" fontId="5" fillId="0" borderId="0" pivotButton="0" quotePrefix="0" xfId="1"/>
    <xf numFmtId="164" fontId="2" fillId="5" borderId="49" pivotButton="0" quotePrefix="0" xfId="1"/>
    <xf numFmtId="0" fontId="2" fillId="9" borderId="1" applyAlignment="1" pivotButton="0" quotePrefix="0" xfId="0">
      <alignment horizontal="center"/>
    </xf>
    <xf numFmtId="164" fontId="11" fillId="0" borderId="2" applyAlignment="1" pivotButton="0" quotePrefix="0" xfId="1">
      <alignment horizontal="center"/>
    </xf>
    <xf numFmtId="164" fontId="2" fillId="8" borderId="19" applyAlignment="1" pivotButton="0" quotePrefix="0" xfId="1">
      <alignment horizontal="center"/>
    </xf>
    <xf numFmtId="164" fontId="0" fillId="5" borderId="28" pivotButton="0" quotePrefix="0" xfId="1"/>
    <xf numFmtId="164" fontId="0" fillId="5" borderId="31" pivotButton="0" quotePrefix="0" xfId="1"/>
    <xf numFmtId="164" fontId="2" fillId="15" borderId="27" pivotButton="0" quotePrefix="0" xfId="1"/>
    <xf numFmtId="164" fontId="0" fillId="5" borderId="1" applyAlignment="1" pivotButton="0" quotePrefix="0" xfId="1">
      <alignment horizontal="center"/>
    </xf>
    <xf numFmtId="0" fontId="2" fillId="15" borderId="25" applyAlignment="1" pivotButton="0" quotePrefix="0" xfId="0">
      <alignment horizontal="center"/>
    </xf>
    <xf numFmtId="0" fontId="0" fillId="5" borderId="17" applyAlignment="1" pivotButton="0" quotePrefix="0" xfId="0">
      <alignment horizontal="center"/>
    </xf>
    <xf numFmtId="0" fontId="0" fillId="13" borderId="9" pivotButton="0" quotePrefix="0" xfId="0"/>
    <xf numFmtId="0" fontId="0" fillId="13" borderId="0" pivotButton="0" quotePrefix="0" xfId="0"/>
    <xf numFmtId="0" fontId="0" fillId="13" borderId="44" pivotButton="0" quotePrefix="0" xfId="0"/>
    <xf numFmtId="164" fontId="0" fillId="0" borderId="44" pivotButton="0" quotePrefix="0" xfId="1"/>
    <xf numFmtId="164" fontId="5" fillId="0" borderId="44" pivotButton="0" quotePrefix="0" xfId="1"/>
    <xf numFmtId="0" fontId="4" fillId="0" borderId="24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1" fontId="14" fillId="0" borderId="6" applyAlignment="1" pivotButton="0" quotePrefix="0" xfId="0">
      <alignment horizontal="center"/>
    </xf>
    <xf numFmtId="17" fontId="14" fillId="0" borderId="6" applyAlignment="1" pivotButton="0" quotePrefix="0" xfId="0">
      <alignment horizontal="center"/>
    </xf>
    <xf numFmtId="164" fontId="0" fillId="3" borderId="9" pivotButton="0" quotePrefix="0" xfId="1"/>
    <xf numFmtId="0" fontId="0" fillId="3" borderId="0" pivotButton="0" quotePrefix="0" xfId="0"/>
    <xf numFmtId="0" fontId="2" fillId="9" borderId="0" pivotButton="0" quotePrefix="0" xfId="0"/>
    <xf numFmtId="164" fontId="2" fillId="9" borderId="0" pivotButton="0" quotePrefix="0" xfId="1"/>
    <xf numFmtId="164" fontId="2" fillId="8" borderId="44" pivotButton="0" quotePrefix="0" xfId="1"/>
    <xf numFmtId="164" fontId="0" fillId="3" borderId="33" pivotButton="0" quotePrefix="0" xfId="1"/>
    <xf numFmtId="164" fontId="2" fillId="8" borderId="34" pivotButton="0" quotePrefix="0" xfId="1"/>
    <xf numFmtId="164" fontId="2" fillId="5" borderId="33" pivotButton="0" quotePrefix="0" xfId="0"/>
    <xf numFmtId="164" fontId="0" fillId="0" borderId="23" applyAlignment="1" pivotButton="0" quotePrefix="0" xfId="1">
      <alignment horizontal="center"/>
    </xf>
    <xf numFmtId="164" fontId="0" fillId="0" borderId="8" applyAlignment="1" pivotButton="0" quotePrefix="0" xfId="1">
      <alignment horizontal="center"/>
    </xf>
    <xf numFmtId="164" fontId="0" fillId="0" borderId="24" applyAlignment="1" pivotButton="0" quotePrefix="0" xfId="1">
      <alignment horizontal="center"/>
    </xf>
    <xf numFmtId="0" fontId="0" fillId="0" borderId="46" pivotButton="0" quotePrefix="0" xfId="0"/>
    <xf numFmtId="0" fontId="0" fillId="10" borderId="46" pivotButton="0" quotePrefix="0" xfId="0"/>
    <xf numFmtId="0" fontId="0" fillId="0" borderId="47" pivotButton="0" quotePrefix="0" xfId="0"/>
    <xf numFmtId="0" fontId="8" fillId="9" borderId="52" pivotButton="0" quotePrefix="0" xfId="0"/>
    <xf numFmtId="0" fontId="0" fillId="0" borderId="1" pivotButton="0" quotePrefix="0" xfId="0"/>
    <xf numFmtId="0" fontId="10" fillId="0" borderId="57" pivotButton="0" quotePrefix="0" xfId="3"/>
    <xf numFmtId="0" fontId="10" fillId="0" borderId="58" pivotButton="0" quotePrefix="0" xfId="3"/>
    <xf numFmtId="0" fontId="10" fillId="0" borderId="59" pivotButton="0" quotePrefix="0" xfId="3"/>
    <xf numFmtId="0" fontId="8" fillId="9" borderId="1" pivotButton="0" quotePrefix="0" xfId="0"/>
    <xf numFmtId="0" fontId="0" fillId="0" borderId="60" pivotButton="0" quotePrefix="0" xfId="0"/>
    <xf numFmtId="0" fontId="0" fillId="0" borderId="61" pivotButton="0" quotePrefix="0" xfId="0"/>
    <xf numFmtId="0" fontId="0" fillId="3" borderId="43" pivotButton="0" quotePrefix="0" xfId="0"/>
    <xf numFmtId="0" fontId="0" fillId="3" borderId="4" pivotButton="0" quotePrefix="0" xfId="0"/>
    <xf numFmtId="164" fontId="8" fillId="9" borderId="19" pivotButton="0" quotePrefix="0" xfId="1"/>
    <xf numFmtId="0" fontId="8" fillId="3" borderId="17" pivotButton="0" quotePrefix="0" xfId="0"/>
    <xf numFmtId="0" fontId="8" fillId="3" borderId="26" pivotButton="0" quotePrefix="0" xfId="0"/>
    <xf numFmtId="164" fontId="0" fillId="3" borderId="34" pivotButton="0" quotePrefix="0" xfId="1"/>
    <xf numFmtId="164" fontId="0" fillId="0" borderId="0" applyAlignment="1" pivotButton="0" quotePrefix="0" xfId="1">
      <alignment horizontal="center"/>
    </xf>
    <xf numFmtId="0" fontId="0" fillId="0" borderId="50" pivotButton="0" quotePrefix="0" xfId="0"/>
    <xf numFmtId="0" fontId="0" fillId="0" borderId="63" pivotButton="0" quotePrefix="0" xfId="0"/>
    <xf numFmtId="0" fontId="0" fillId="0" borderId="62" pivotButton="0" quotePrefix="0" xfId="0"/>
    <xf numFmtId="164" fontId="8" fillId="9" borderId="25" pivotButton="0" quotePrefix="0" xfId="1"/>
    <xf numFmtId="166" fontId="0" fillId="9" borderId="6" pivotButton="0" quotePrefix="0" xfId="1"/>
    <xf numFmtId="0" fontId="10" fillId="0" borderId="33" pivotButton="0" quotePrefix="0" xfId="3"/>
    <xf numFmtId="164" fontId="0" fillId="0" borderId="34" pivotButton="0" quotePrefix="0" xfId="1"/>
    <xf numFmtId="0" fontId="10" fillId="0" borderId="53" pivotButton="0" quotePrefix="0" xfId="3"/>
    <xf numFmtId="164" fontId="0" fillId="0" borderId="56" pivotButton="0" quotePrefix="0" xfId="1"/>
    <xf numFmtId="0" fontId="10" fillId="0" borderId="28" pivotButton="0" quotePrefix="0" xfId="3"/>
    <xf numFmtId="164" fontId="0" fillId="0" borderId="64" pivotButton="0" quotePrefix="0" xfId="1"/>
    <xf numFmtId="0" fontId="16" fillId="0" borderId="16" applyAlignment="1" pivotButton="0" quotePrefix="0" xfId="3">
      <alignment horizontal="center"/>
    </xf>
    <xf numFmtId="0" fontId="2" fillId="0" borderId="17" applyAlignment="1" pivotButton="0" quotePrefix="0" xfId="0">
      <alignment horizontal="center"/>
    </xf>
    <xf numFmtId="164" fontId="5" fillId="0" borderId="25" pivotButton="0" quotePrefix="0" xfId="0"/>
    <xf numFmtId="0" fontId="13" fillId="0" borderId="0" pivotButton="0" quotePrefix="0" xfId="0"/>
    <xf numFmtId="0" fontId="14" fillId="0" borderId="0" pivotButton="0" quotePrefix="0" xfId="0"/>
    <xf numFmtId="0" fontId="13" fillId="0" borderId="30" pivotButton="0" quotePrefix="0" xfId="0"/>
    <xf numFmtId="0" fontId="14" fillId="0" borderId="24" pivotButton="0" quotePrefix="0" xfId="0"/>
    <xf numFmtId="0" fontId="9" fillId="0" borderId="38" applyAlignment="1" pivotButton="0" quotePrefix="0" xfId="0">
      <alignment horizontal="center" vertical="center"/>
    </xf>
    <xf numFmtId="0" fontId="9" fillId="0" borderId="24" applyAlignment="1" pivotButton="0" quotePrefix="0" xfId="0">
      <alignment horizontal="center"/>
    </xf>
    <xf numFmtId="0" fontId="15" fillId="0" borderId="24" pivotButton="0" quotePrefix="0" xfId="0"/>
    <xf numFmtId="0" fontId="15" fillId="0" borderId="0" pivotButton="0" quotePrefix="0" xfId="0"/>
    <xf numFmtId="1" fontId="14" fillId="0" borderId="0" applyAlignment="1" pivotButton="0" quotePrefix="0" xfId="0">
      <alignment horizontal="center"/>
    </xf>
    <xf numFmtId="0" fontId="17" fillId="7" borderId="31" applyAlignment="1" pivotButton="0" quotePrefix="0" xfId="0">
      <alignment horizontal="center"/>
    </xf>
    <xf numFmtId="0" fontId="14" fillId="0" borderId="38" pivotButton="0" quotePrefix="0" xfId="0"/>
    <xf numFmtId="0" fontId="14" fillId="0" borderId="37" pivotButton="0" quotePrefix="0" xfId="0"/>
    <xf numFmtId="0" fontId="15" fillId="0" borderId="31" pivotButton="0" quotePrefix="0" xfId="0"/>
    <xf numFmtId="0" fontId="15" fillId="0" borderId="30" pivotButton="0" quotePrefix="0" xfId="0"/>
    <xf numFmtId="0" fontId="9" fillId="0" borderId="10" applyAlignment="1" pivotButton="0" quotePrefix="0" xfId="0">
      <alignment horizontal="center" wrapText="1"/>
    </xf>
    <xf numFmtId="0" fontId="9" fillId="0" borderId="8" applyAlignment="1" pivotButton="0" quotePrefix="0" xfId="0">
      <alignment horizontal="center" wrapText="1"/>
    </xf>
    <xf numFmtId="0" fontId="17" fillId="7" borderId="29" applyAlignment="1" pivotButton="0" quotePrefix="0" xfId="0">
      <alignment horizontal="center" wrapText="1"/>
    </xf>
    <xf numFmtId="0" fontId="9" fillId="0" borderId="38" applyAlignment="1" pivotButton="0" quotePrefix="0" xfId="0">
      <alignment horizontal="center"/>
    </xf>
    <xf numFmtId="0" fontId="15" fillId="0" borderId="38" pivotButton="0" quotePrefix="0" xfId="0"/>
    <xf numFmtId="0" fontId="15" fillId="0" borderId="37" pivotButton="0" quotePrefix="0" xfId="0"/>
    <xf numFmtId="0" fontId="13" fillId="25" borderId="0" pivotButton="0" quotePrefix="0" xfId="0"/>
    <xf numFmtId="0" fontId="14" fillId="0" borderId="30" pivotButton="0" quotePrefix="0" xfId="0"/>
    <xf numFmtId="17" fontId="14" fillId="0" borderId="36" applyAlignment="1" pivotButton="0" quotePrefix="0" xfId="0">
      <alignment horizontal="center"/>
    </xf>
    <xf numFmtId="167" fontId="0" fillId="0" borderId="0" pivotButton="0" quotePrefix="0" xfId="0"/>
    <xf numFmtId="164" fontId="2" fillId="5" borderId="10" pivotButton="0" quotePrefix="0" xfId="0"/>
    <xf numFmtId="164" fontId="19" fillId="0" borderId="0" pivotButton="0" quotePrefix="0" xfId="1"/>
    <xf numFmtId="0" fontId="19" fillId="0" borderId="1" pivotButton="0" quotePrefix="0" xfId="0"/>
    <xf numFmtId="0" fontId="19" fillId="10" borderId="33" pivotButton="0" quotePrefix="0" xfId="0"/>
    <xf numFmtId="0" fontId="19" fillId="10" borderId="6" pivotButton="0" quotePrefix="0" xfId="0"/>
    <xf numFmtId="164" fontId="19" fillId="3" borderId="34" pivotButton="0" quotePrefix="0" xfId="1"/>
    <xf numFmtId="0" fontId="19" fillId="10" borderId="46" pivotButton="0" quotePrefix="0" xfId="0"/>
    <xf numFmtId="3" fontId="21" fillId="12" borderId="35" pivotButton="0" quotePrefix="0" xfId="0"/>
    <xf numFmtId="164" fontId="19" fillId="9" borderId="33" pivotButton="0" quotePrefix="0" xfId="1"/>
    <xf numFmtId="0" fontId="19" fillId="12" borderId="6" pivotButton="0" quotePrefix="0" xfId="0"/>
    <xf numFmtId="164" fontId="19" fillId="0" borderId="6" pivotButton="0" quotePrefix="0" xfId="1"/>
    <xf numFmtId="164" fontId="19" fillId="12" borderId="29" pivotButton="0" quotePrefix="0" xfId="1"/>
    <xf numFmtId="0" fontId="19" fillId="0" borderId="33" pivotButton="0" quotePrefix="0" xfId="0"/>
    <xf numFmtId="0" fontId="19" fillId="0" borderId="6" pivotButton="0" quotePrefix="0" xfId="0"/>
    <xf numFmtId="0" fontId="20" fillId="10" borderId="33" pivotButton="0" quotePrefix="0" xfId="0"/>
    <xf numFmtId="0" fontId="20" fillId="10" borderId="6" pivotButton="0" quotePrefix="0" xfId="0"/>
    <xf numFmtId="164" fontId="20" fillId="3" borderId="34" pivotButton="0" quotePrefix="0" xfId="1"/>
    <xf numFmtId="0" fontId="0" fillId="2" borderId="3" pivotButton="0" quotePrefix="0" xfId="0"/>
    <xf numFmtId="0" fontId="0" fillId="2" borderId="27" pivotButton="0" quotePrefix="0" xfId="0"/>
    <xf numFmtId="164" fontId="2" fillId="8" borderId="0" pivotButton="0" quotePrefix="0" xfId="1"/>
    <xf numFmtId="164" fontId="0" fillId="0" borderId="36" pivotButton="0" quotePrefix="0" xfId="0"/>
    <xf numFmtId="0" fontId="2" fillId="0" borderId="13" applyAlignment="1" pivotButton="0" quotePrefix="0" xfId="0">
      <alignment horizontal="center"/>
    </xf>
    <xf numFmtId="9" fontId="0" fillId="0" borderId="34" pivotButton="0" quotePrefix="0" xfId="2"/>
    <xf numFmtId="0" fontId="2" fillId="18" borderId="4" applyAlignment="1" pivotButton="0" quotePrefix="0" xfId="0">
      <alignment horizontal="center"/>
    </xf>
    <xf numFmtId="0" fontId="0" fillId="0" borderId="49" pivotButton="0" quotePrefix="0" xfId="0"/>
    <xf numFmtId="164" fontId="0" fillId="0" borderId="50" pivotButton="0" quotePrefix="0" xfId="1"/>
    <xf numFmtId="164" fontId="0" fillId="0" borderId="28" pivotButton="0" quotePrefix="0" xfId="1"/>
    <xf numFmtId="164" fontId="0" fillId="0" borderId="33" pivotButton="0" quotePrefix="0" xfId="1"/>
    <xf numFmtId="0" fontId="22" fillId="0" borderId="28" applyAlignment="1" pivotButton="0" quotePrefix="0" xfId="2">
      <alignment horizontal="left"/>
    </xf>
    <xf numFmtId="0" fontId="22" fillId="0" borderId="33" applyAlignment="1" pivotButton="0" quotePrefix="0" xfId="1">
      <alignment horizontal="left"/>
    </xf>
    <xf numFmtId="0" fontId="22" fillId="0" borderId="33" applyAlignment="1" pivotButton="0" quotePrefix="0" xfId="1">
      <alignment horizontal="left"/>
    </xf>
    <xf numFmtId="0" fontId="20" fillId="7" borderId="65" pivotButton="0" quotePrefix="0" xfId="0"/>
    <xf numFmtId="0" fontId="20" fillId="7" borderId="66" pivotButton="0" quotePrefix="0" xfId="0"/>
    <xf numFmtId="0" fontId="20" fillId="7" borderId="63" pivotButton="0" quotePrefix="0" xfId="0"/>
    <xf numFmtId="0" fontId="2" fillId="7" borderId="65" pivotButton="0" quotePrefix="0" xfId="0"/>
    <xf numFmtId="0" fontId="22" fillId="0" borderId="14" applyAlignment="1" pivotButton="0" quotePrefix="0" xfId="1">
      <alignment horizontal="left"/>
    </xf>
    <xf numFmtId="164" fontId="0" fillId="0" borderId="51" pivotButton="0" quotePrefix="0" xfId="1"/>
    <xf numFmtId="164" fontId="9" fillId="0" borderId="16" pivotButton="0" quotePrefix="0" xfId="1"/>
    <xf numFmtId="164" fontId="9" fillId="0" borderId="52" pivotButton="0" quotePrefix="0" xfId="1"/>
    <xf numFmtId="0" fontId="0" fillId="7" borderId="63" pivotButton="0" quotePrefix="0" xfId="0"/>
    <xf numFmtId="164" fontId="7" fillId="0" borderId="64" applyAlignment="1" pivotButton="0" quotePrefix="0" xfId="2">
      <alignment horizontal="left"/>
    </xf>
    <xf numFmtId="164" fontId="7" fillId="0" borderId="34" applyAlignment="1" pivotButton="0" quotePrefix="0" xfId="1">
      <alignment horizontal="left"/>
    </xf>
    <xf numFmtId="164" fontId="7" fillId="0" borderId="34" applyAlignment="1" pivotButton="0" quotePrefix="0" xfId="1">
      <alignment horizontal="left"/>
    </xf>
    <xf numFmtId="164" fontId="7" fillId="0" borderId="15" applyAlignment="1" pivotButton="0" quotePrefix="0" xfId="1">
      <alignment horizontal="left"/>
    </xf>
    <xf numFmtId="164" fontId="9" fillId="0" borderId="17" pivotButton="0" quotePrefix="0" xfId="1"/>
    <xf numFmtId="9" fontId="23" fillId="0" borderId="17" pivotButton="0" quotePrefix="0" xfId="2"/>
    <xf numFmtId="9" fontId="2" fillId="5" borderId="15" pivotButton="0" quotePrefix="0" xfId="2"/>
    <xf numFmtId="0" fontId="2" fillId="5" borderId="51" pivotButton="0" quotePrefix="0" xfId="0"/>
    <xf numFmtId="164" fontId="7" fillId="5" borderId="0" pivotButton="0" quotePrefix="0" xfId="0"/>
    <xf numFmtId="164" fontId="7" fillId="5" borderId="9" pivotButton="0" quotePrefix="0" xfId="0"/>
    <xf numFmtId="164" fontId="25" fillId="5" borderId="33" pivotButton="0" quotePrefix="0" xfId="0"/>
    <xf numFmtId="164" fontId="2" fillId="5" borderId="6" pivotButton="0" quotePrefix="0" xfId="1"/>
    <xf numFmtId="164" fontId="2" fillId="5" borderId="0" applyAlignment="1" pivotButton="0" quotePrefix="0" xfId="1">
      <alignment horizontal="center"/>
    </xf>
    <xf numFmtId="168" fontId="6" fillId="5" borderId="25" pivotButton="0" quotePrefix="0" xfId="1"/>
    <xf numFmtId="164" fontId="0" fillId="7" borderId="67" pivotButton="0" quotePrefix="0" xfId="1"/>
    <xf numFmtId="165" fontId="8" fillId="0" borderId="25" pivotButton="0" quotePrefix="0" xfId="2"/>
    <xf numFmtId="0" fontId="0" fillId="7" borderId="60" pivotButton="0" quotePrefix="0" xfId="0"/>
    <xf numFmtId="164" fontId="0" fillId="7" borderId="68" pivotButton="0" quotePrefix="0" xfId="1"/>
    <xf numFmtId="164" fontId="0" fillId="7" borderId="68" pivotButton="0" quotePrefix="0" xfId="0"/>
    <xf numFmtId="0" fontId="8" fillId="0" borderId="16" pivotButton="0" quotePrefix="0" xfId="0"/>
    <xf numFmtId="164" fontId="8" fillId="0" borderId="7" pivotButton="0" quotePrefix="0" xfId="1"/>
    <xf numFmtId="164" fontId="8" fillId="0" borderId="7" pivotButton="0" quotePrefix="0" xfId="0"/>
    <xf numFmtId="165" fontId="8" fillId="0" borderId="7" pivotButton="0" quotePrefix="0" xfId="2"/>
    <xf numFmtId="165" fontId="8" fillId="0" borderId="26" pivotButton="0" quotePrefix="0" xfId="2"/>
    <xf numFmtId="164" fontId="5" fillId="7" borderId="3" pivotButton="0" quotePrefix="0" xfId="1"/>
    <xf numFmtId="164" fontId="0" fillId="3" borderId="14" pivotButton="0" quotePrefix="0" xfId="1"/>
    <xf numFmtId="164" fontId="0" fillId="3" borderId="10" pivotButton="0" quotePrefix="0" xfId="1"/>
    <xf numFmtId="164" fontId="2" fillId="9" borderId="10" pivotButton="0" quotePrefix="0" xfId="1"/>
    <xf numFmtId="164" fontId="0" fillId="0" borderId="10" pivotButton="0" quotePrefix="0" xfId="1"/>
    <xf numFmtId="164" fontId="2" fillId="8" borderId="15" pivotButton="0" quotePrefix="0" xfId="1"/>
    <xf numFmtId="164" fontId="0" fillId="5" borderId="16" pivotButton="0" quotePrefix="0" xfId="1"/>
    <xf numFmtId="164" fontId="0" fillId="5" borderId="7" pivotButton="0" quotePrefix="0" xfId="1"/>
    <xf numFmtId="164" fontId="5" fillId="5" borderId="2" pivotButton="0" quotePrefix="0" xfId="0"/>
    <xf numFmtId="164" fontId="7" fillId="5" borderId="7" pivotButton="0" quotePrefix="0" xfId="1"/>
    <xf numFmtId="164" fontId="26" fillId="5" borderId="7" pivotButton="0" quotePrefix="0" xfId="1"/>
    <xf numFmtId="164" fontId="7" fillId="5" borderId="26" pivotButton="0" quotePrefix="0" xfId="1"/>
    <xf numFmtId="164" fontId="7" fillId="5" borderId="25" pivotButton="0" quotePrefix="0" xfId="1"/>
    <xf numFmtId="9" fontId="25" fillId="5" borderId="15" pivotButton="0" quotePrefix="0" xfId="2"/>
    <xf numFmtId="164" fontId="7" fillId="5" borderId="33" pivotButton="0" quotePrefix="0" xfId="0"/>
    <xf numFmtId="164" fontId="0" fillId="7" borderId="43" pivotButton="0" quotePrefix="0" xfId="1"/>
    <xf numFmtId="165" fontId="8" fillId="0" borderId="2" pivotButton="0" quotePrefix="0" xfId="2"/>
    <xf numFmtId="164" fontId="9" fillId="7" borderId="2" pivotButton="0" quotePrefix="0" xfId="1"/>
    <xf numFmtId="164" fontId="19" fillId="7" borderId="43" pivotButton="0" quotePrefix="0" xfId="1"/>
    <xf numFmtId="164" fontId="5" fillId="5" borderId="19" pivotButton="0" quotePrefix="0" xfId="1"/>
    <xf numFmtId="164" fontId="8" fillId="5" borderId="19" pivotButton="0" quotePrefix="0" xfId="1"/>
    <xf numFmtId="164" fontId="19" fillId="0" borderId="50" pivotButton="0" quotePrefix="0" xfId="1"/>
    <xf numFmtId="0" fontId="4" fillId="4" borderId="2" applyAlignment="1" pivotButton="0" quotePrefix="0" xfId="0">
      <alignment horizontal="center"/>
    </xf>
    <xf numFmtId="0" fontId="0" fillId="7" borderId="66" pivotButton="0" quotePrefix="0" xfId="0"/>
    <xf numFmtId="164" fontId="7" fillId="0" borderId="30" applyAlignment="1" pivotButton="0" quotePrefix="0" xfId="2">
      <alignment horizontal="left"/>
    </xf>
    <xf numFmtId="164" fontId="7" fillId="0" borderId="35" applyAlignment="1" pivotButton="0" quotePrefix="0" xfId="1">
      <alignment horizontal="left"/>
    </xf>
    <xf numFmtId="164" fontId="7" fillId="0" borderId="35" applyAlignment="1" pivotButton="0" quotePrefix="0" xfId="1">
      <alignment horizontal="left"/>
    </xf>
    <xf numFmtId="164" fontId="7" fillId="0" borderId="37" applyAlignment="1" pivotButton="0" quotePrefix="0" xfId="1">
      <alignment horizontal="left"/>
    </xf>
    <xf numFmtId="164" fontId="9" fillId="0" borderId="2" pivotButton="0" quotePrefix="0" xfId="1"/>
    <xf numFmtId="164" fontId="7" fillId="5" borderId="42" pivotButton="0" quotePrefix="0" xfId="0"/>
    <xf numFmtId="164" fontId="0" fillId="5" borderId="34" pivotButton="0" quotePrefix="0" xfId="0"/>
    <xf numFmtId="0" fontId="7" fillId="0" borderId="12" applyAlignment="1" pivotButton="0" quotePrefix="0" xfId="0">
      <alignment horizontal="center"/>
    </xf>
    <xf numFmtId="164" fontId="20" fillId="0" borderId="6" pivotButton="0" quotePrefix="0" xfId="1"/>
    <xf numFmtId="164" fontId="27" fillId="0" borderId="7" pivotButton="0" quotePrefix="0" xfId="1"/>
    <xf numFmtId="0" fontId="20" fillId="0" borderId="0" pivotButton="0" quotePrefix="0" xfId="0"/>
    <xf numFmtId="0" fontId="2" fillId="5" borderId="5" pivotButton="0" quotePrefix="0" xfId="0"/>
    <xf numFmtId="0" fontId="2" fillId="0" borderId="64" applyAlignment="1" pivotButton="0" quotePrefix="0" xfId="0">
      <alignment horizontal="center"/>
    </xf>
    <xf numFmtId="0" fontId="7" fillId="0" borderId="29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2" fillId="17" borderId="2" applyAlignment="1" pivotButton="0" quotePrefix="0" xfId="0">
      <alignment horizontal="center"/>
    </xf>
    <xf numFmtId="0" fontId="2" fillId="30" borderId="2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164" fontId="5" fillId="5" borderId="39" pivotButton="0" quotePrefix="0" xfId="0"/>
    <xf numFmtId="164" fontId="2" fillId="5" borderId="32" pivotButton="0" quotePrefix="0" xfId="0"/>
    <xf numFmtId="165" fontId="0" fillId="0" borderId="0" pivotButton="0" quotePrefix="0" xfId="2"/>
    <xf numFmtId="0" fontId="3" fillId="0" borderId="0" applyAlignment="1" pivotButton="0" quotePrefix="0" xfId="1">
      <alignment horizontal="center"/>
    </xf>
    <xf numFmtId="0" fontId="2" fillId="0" borderId="0" applyAlignment="1" pivotButton="0" quotePrefix="0" xfId="0">
      <alignment horizontal="center"/>
    </xf>
    <xf numFmtId="9" fontId="0" fillId="0" borderId="0" pivotButton="0" quotePrefix="0" xfId="2"/>
    <xf numFmtId="9" fontId="6" fillId="0" borderId="2" pivotButton="0" quotePrefix="0" xfId="2"/>
    <xf numFmtId="10" fontId="0" fillId="0" borderId="35" pivotButton="0" quotePrefix="0" xfId="2"/>
    <xf numFmtId="169" fontId="0" fillId="0" borderId="0" pivotButton="0" quotePrefix="0" xfId="1"/>
    <xf numFmtId="0" fontId="0" fillId="7" borderId="65" pivotButton="0" quotePrefix="0" xfId="0"/>
    <xf numFmtId="164" fontId="7" fillId="0" borderId="57" applyAlignment="1" pivotButton="0" quotePrefix="0" xfId="2">
      <alignment horizontal="left"/>
    </xf>
    <xf numFmtId="164" fontId="7" fillId="0" borderId="58" applyAlignment="1" pivotButton="0" quotePrefix="0" xfId="1">
      <alignment horizontal="left"/>
    </xf>
    <xf numFmtId="164" fontId="7" fillId="0" borderId="58" applyAlignment="1" pivotButton="0" quotePrefix="0" xfId="1">
      <alignment horizontal="left"/>
    </xf>
    <xf numFmtId="164" fontId="7" fillId="0" borderId="59" applyAlignment="1" pivotButton="0" quotePrefix="0" xfId="1">
      <alignment horizontal="left"/>
    </xf>
    <xf numFmtId="164" fontId="9" fillId="0" borderId="1" pivotButton="0" quotePrefix="0" xfId="1"/>
    <xf numFmtId="164" fontId="2" fillId="5" borderId="27" pivotButton="0" quotePrefix="0" xfId="0"/>
    <xf numFmtId="164" fontId="5" fillId="5" borderId="69" pivotButton="0" quotePrefix="0" xfId="0"/>
    <xf numFmtId="0" fontId="2" fillId="26" borderId="3" pivotButton="0" quotePrefix="0" xfId="0"/>
    <xf numFmtId="164" fontId="5" fillId="26" borderId="69" pivotButton="0" quotePrefix="0" xfId="0"/>
    <xf numFmtId="0" fontId="2" fillId="29" borderId="3" pivotButton="0" quotePrefix="0" xfId="0"/>
    <xf numFmtId="164" fontId="5" fillId="29" borderId="69" pivotButton="0" quotePrefix="0" xfId="0"/>
    <xf numFmtId="0" fontId="2" fillId="28" borderId="3" pivotButton="0" quotePrefix="0" xfId="0"/>
    <xf numFmtId="164" fontId="5" fillId="28" borderId="69" pivotButton="0" quotePrefix="0" xfId="0"/>
    <xf numFmtId="0" fontId="2" fillId="22" borderId="4" pivotButton="0" quotePrefix="0" xfId="0"/>
    <xf numFmtId="164" fontId="5" fillId="22" borderId="42" pivotButton="0" quotePrefix="0" xfId="0"/>
    <xf numFmtId="0" fontId="2" fillId="27" borderId="3" applyAlignment="1" pivotButton="0" quotePrefix="0" xfId="0">
      <alignment horizontal="center" vertical="center"/>
    </xf>
    <xf numFmtId="164" fontId="5" fillId="27" borderId="5" applyAlignment="1" pivotButton="0" quotePrefix="0" xfId="0">
      <alignment horizontal="center" vertical="center"/>
    </xf>
    <xf numFmtId="10" fontId="2" fillId="31" borderId="25" pivotButton="0" quotePrefix="0" xfId="2"/>
    <xf numFmtId="0" fontId="2" fillId="20" borderId="3" pivotButton="0" quotePrefix="0" xfId="0"/>
    <xf numFmtId="164" fontId="5" fillId="20" borderId="5" pivotButton="0" quotePrefix="0" xfId="0"/>
    <xf numFmtId="0" fontId="2" fillId="7" borderId="3" pivotButton="0" quotePrefix="0" xfId="0"/>
    <xf numFmtId="164" fontId="5" fillId="7" borderId="5" pivotButton="0" quotePrefix="0" xfId="0"/>
    <xf numFmtId="0" fontId="0" fillId="0" borderId="40" pivotButton="0" quotePrefix="0" xfId="0"/>
    <xf numFmtId="0" fontId="2" fillId="31" borderId="1" pivotButton="0" quotePrefix="0" xfId="0"/>
    <xf numFmtId="0" fontId="2" fillId="17" borderId="3" pivotButton="0" quotePrefix="0" xfId="0"/>
    <xf numFmtId="164" fontId="5" fillId="17" borderId="5" pivotButton="0" quotePrefix="0" xfId="0"/>
    <xf numFmtId="9" fontId="2" fillId="5" borderId="39" pivotButton="0" quotePrefix="0" xfId="2"/>
    <xf numFmtId="9" fontId="1" fillId="27" borderId="18" applyAlignment="1" pivotButton="0" quotePrefix="0" xfId="2">
      <alignment horizontal="center" vertical="center"/>
    </xf>
    <xf numFmtId="164" fontId="1" fillId="27" borderId="39" applyAlignment="1" pivotButton="0" quotePrefix="0" xfId="1">
      <alignment horizontal="center" vertical="center"/>
    </xf>
    <xf numFmtId="9" fontId="0" fillId="26" borderId="18" applyAlignment="1" pivotButton="0" quotePrefix="0" xfId="2">
      <alignment horizontal="center"/>
    </xf>
    <xf numFmtId="9" fontId="2" fillId="5" borderId="18" applyAlignment="1" pivotButton="0" quotePrefix="0" xfId="2">
      <alignment horizontal="center"/>
    </xf>
    <xf numFmtId="164" fontId="0" fillId="26" borderId="39" applyAlignment="1" pivotButton="0" quotePrefix="0" xfId="1">
      <alignment horizontal="center"/>
    </xf>
    <xf numFmtId="164" fontId="2" fillId="5" borderId="39" applyAlignment="1" pivotButton="0" quotePrefix="0" xfId="0">
      <alignment horizontal="center"/>
    </xf>
    <xf numFmtId="164" fontId="1" fillId="17" borderId="39" applyAlignment="1" pivotButton="0" quotePrefix="0" xfId="1">
      <alignment horizontal="center"/>
    </xf>
    <xf numFmtId="164" fontId="1" fillId="7" borderId="39" applyAlignment="1" pivotButton="0" quotePrefix="0" xfId="1">
      <alignment horizontal="center"/>
    </xf>
    <xf numFmtId="164" fontId="1" fillId="20" borderId="39" applyAlignment="1" pivotButton="0" quotePrefix="0" xfId="1">
      <alignment horizontal="center"/>
    </xf>
    <xf numFmtId="164" fontId="1" fillId="22" borderId="62" applyAlignment="1" pivotButton="0" quotePrefix="0" xfId="1">
      <alignment horizontal="center"/>
    </xf>
    <xf numFmtId="164" fontId="1" fillId="28" borderId="39" applyAlignment="1" pivotButton="0" quotePrefix="0" xfId="1">
      <alignment horizontal="center"/>
    </xf>
    <xf numFmtId="164" fontId="1" fillId="29" borderId="39" applyAlignment="1" pivotButton="0" quotePrefix="0" xfId="1">
      <alignment horizontal="center"/>
    </xf>
    <xf numFmtId="164" fontId="1" fillId="26" borderId="39" applyAlignment="1" pivotButton="0" quotePrefix="0" xfId="1">
      <alignment horizontal="center"/>
    </xf>
    <xf numFmtId="9" fontId="1" fillId="17" borderId="18" applyAlignment="1" pivotButton="0" quotePrefix="0" xfId="2">
      <alignment horizontal="center"/>
    </xf>
    <xf numFmtId="9" fontId="1" fillId="7" borderId="18" applyAlignment="1" pivotButton="0" quotePrefix="0" xfId="2">
      <alignment horizontal="center"/>
    </xf>
    <xf numFmtId="9" fontId="1" fillId="20" borderId="18" applyAlignment="1" pivotButton="0" quotePrefix="0" xfId="2">
      <alignment horizontal="center"/>
    </xf>
    <xf numFmtId="9" fontId="1" fillId="22" borderId="63" applyAlignment="1" pivotButton="0" quotePrefix="0" xfId="2">
      <alignment horizontal="center"/>
    </xf>
    <xf numFmtId="9" fontId="1" fillId="28" borderId="18" applyAlignment="1" pivotButton="0" quotePrefix="0" xfId="2">
      <alignment horizontal="center"/>
    </xf>
    <xf numFmtId="9" fontId="1" fillId="29" borderId="18" applyAlignment="1" pivotButton="0" quotePrefix="0" xfId="2">
      <alignment horizontal="center"/>
    </xf>
    <xf numFmtId="9" fontId="1" fillId="26" borderId="18" applyAlignment="1" pivotButton="0" quotePrefix="0" xfId="2">
      <alignment horizontal="center"/>
    </xf>
    <xf numFmtId="9" fontId="20" fillId="17" borderId="18" applyAlignment="1" pivotButton="0" quotePrefix="0" xfId="2">
      <alignment horizontal="center"/>
    </xf>
    <xf numFmtId="164" fontId="0" fillId="17" borderId="32" pivotButton="0" quotePrefix="0" xfId="1"/>
    <xf numFmtId="164" fontId="5" fillId="17" borderId="32" pivotButton="0" quotePrefix="0" xfId="0"/>
    <xf numFmtId="10" fontId="2" fillId="31" borderId="69" pivotButton="0" quotePrefix="0" xfId="2"/>
    <xf numFmtId="0" fontId="5" fillId="0" borderId="32" pivotButton="0" quotePrefix="0" xfId="0"/>
    <xf numFmtId="0" fontId="2" fillId="31" borderId="69" pivotButton="0" quotePrefix="0" xfId="0"/>
    <xf numFmtId="164" fontId="0" fillId="7" borderId="32" pivotButton="0" quotePrefix="0" xfId="1"/>
    <xf numFmtId="164" fontId="0" fillId="20" borderId="32" pivotButton="0" quotePrefix="0" xfId="1"/>
    <xf numFmtId="164" fontId="0" fillId="27" borderId="32" applyAlignment="1" pivotButton="0" quotePrefix="0" xfId="1">
      <alignment horizontal="center" vertical="center"/>
    </xf>
    <xf numFmtId="164" fontId="0" fillId="22" borderId="32" pivotButton="0" quotePrefix="0" xfId="1"/>
    <xf numFmtId="164" fontId="0" fillId="28" borderId="32" pivotButton="0" quotePrefix="0" xfId="1"/>
    <xf numFmtId="164" fontId="0" fillId="29" borderId="32" pivotButton="0" quotePrefix="0" xfId="1"/>
    <xf numFmtId="164" fontId="0" fillId="26" borderId="32" pivotButton="0" quotePrefix="0" xfId="1"/>
    <xf numFmtId="164" fontId="0" fillId="17" borderId="27" pivotButton="0" quotePrefix="0" xfId="1"/>
    <xf numFmtId="164" fontId="0" fillId="7" borderId="27" pivotButton="0" quotePrefix="0" xfId="1"/>
    <xf numFmtId="164" fontId="0" fillId="20" borderId="27" pivotButton="0" quotePrefix="0" xfId="1"/>
    <xf numFmtId="164" fontId="0" fillId="27" borderId="27" applyAlignment="1" pivotButton="0" quotePrefix="0" xfId="1">
      <alignment horizontal="center" vertical="center"/>
    </xf>
    <xf numFmtId="164" fontId="0" fillId="22" borderId="27" pivotButton="0" quotePrefix="0" xfId="1"/>
    <xf numFmtId="164" fontId="0" fillId="28" borderId="27" pivotButton="0" quotePrefix="0" xfId="1"/>
    <xf numFmtId="164" fontId="0" fillId="29" borderId="27" pivotButton="0" quotePrefix="0" xfId="1"/>
    <xf numFmtId="164" fontId="0" fillId="26" borderId="27" pivotButton="0" quotePrefix="0" xfId="1"/>
    <xf numFmtId="0" fontId="2" fillId="5" borderId="19" pivotButton="0" quotePrefix="0" xfId="0"/>
    <xf numFmtId="0" fontId="2" fillId="0" borderId="27" pivotButton="0" quotePrefix="0" xfId="0"/>
    <xf numFmtId="0" fontId="2" fillId="0" borderId="32" pivotButton="0" quotePrefix="0" xfId="0"/>
    <xf numFmtId="0" fontId="2" fillId="17" borderId="25" pivotButton="0" quotePrefix="0" xfId="0"/>
    <xf numFmtId="0" fontId="2" fillId="7" borderId="25" pivotButton="0" quotePrefix="0" xfId="0"/>
    <xf numFmtId="0" fontId="2" fillId="20" borderId="25" pivotButton="0" quotePrefix="0" xfId="0"/>
    <xf numFmtId="0" fontId="2" fillId="27" borderId="25" applyAlignment="1" pivotButton="0" quotePrefix="0" xfId="0">
      <alignment horizontal="center" vertical="center"/>
    </xf>
    <xf numFmtId="0" fontId="2" fillId="22" borderId="25" pivotButton="0" quotePrefix="0" xfId="0"/>
    <xf numFmtId="0" fontId="2" fillId="28" borderId="25" pivotButton="0" quotePrefix="0" xfId="0"/>
    <xf numFmtId="0" fontId="2" fillId="29" borderId="25" pivotButton="0" quotePrefix="0" xfId="0"/>
    <xf numFmtId="0" fontId="2" fillId="26" borderId="25" pivotButton="0" quotePrefix="0" xfId="0"/>
    <xf numFmtId="9" fontId="20" fillId="28" borderId="18" applyAlignment="1" pivotButton="0" quotePrefix="0" xfId="2">
      <alignment horizontal="center"/>
    </xf>
    <xf numFmtId="9" fontId="20" fillId="29" borderId="18" applyAlignment="1" pivotButton="0" quotePrefix="0" xfId="2">
      <alignment horizontal="center"/>
    </xf>
    <xf numFmtId="164" fontId="20" fillId="28" borderId="39" applyAlignment="1" pivotButton="0" quotePrefix="0" xfId="1">
      <alignment horizontal="center"/>
    </xf>
    <xf numFmtId="164" fontId="20" fillId="29" borderId="39" applyAlignment="1" pivotButton="0" quotePrefix="0" xfId="1">
      <alignment horizontal="center"/>
    </xf>
    <xf numFmtId="9" fontId="20" fillId="26" borderId="18" applyAlignment="1" pivotButton="0" quotePrefix="0" xfId="2">
      <alignment horizontal="center"/>
    </xf>
    <xf numFmtId="164" fontId="20" fillId="26" borderId="39" applyAlignment="1" pivotButton="0" quotePrefix="0" xfId="1">
      <alignment horizontal="center"/>
    </xf>
    <xf numFmtId="9" fontId="20" fillId="7" borderId="18" applyAlignment="1" pivotButton="0" quotePrefix="0" xfId="2">
      <alignment horizontal="center"/>
    </xf>
    <xf numFmtId="9" fontId="20" fillId="20" borderId="18" applyAlignment="1" pivotButton="0" quotePrefix="0" xfId="2">
      <alignment horizontal="center"/>
    </xf>
    <xf numFmtId="9" fontId="20" fillId="27" borderId="18" applyAlignment="1" pivotButton="0" quotePrefix="0" xfId="2">
      <alignment horizontal="center" vertical="center"/>
    </xf>
    <xf numFmtId="9" fontId="20" fillId="22" borderId="63" applyAlignment="1" pivotButton="0" quotePrefix="0" xfId="2">
      <alignment horizontal="center"/>
    </xf>
    <xf numFmtId="164" fontId="20" fillId="17" borderId="39" applyAlignment="1" pivotButton="0" quotePrefix="0" xfId="1">
      <alignment horizontal="center"/>
    </xf>
    <xf numFmtId="164" fontId="20" fillId="7" borderId="39" applyAlignment="1" pivotButton="0" quotePrefix="0" xfId="1">
      <alignment horizontal="center"/>
    </xf>
    <xf numFmtId="164" fontId="20" fillId="20" borderId="39" applyAlignment="1" pivotButton="0" quotePrefix="0" xfId="1">
      <alignment horizontal="center"/>
    </xf>
    <xf numFmtId="164" fontId="20" fillId="27" borderId="39" applyAlignment="1" pivotButton="0" quotePrefix="0" xfId="1">
      <alignment horizontal="center" vertical="center"/>
    </xf>
    <xf numFmtId="164" fontId="20" fillId="22" borderId="62" applyAlignment="1" pivotButton="0" quotePrefix="0" xfId="1">
      <alignment horizontal="center"/>
    </xf>
    <xf numFmtId="9" fontId="0" fillId="14" borderId="34" pivotButton="0" quotePrefix="0" xfId="2"/>
    <xf numFmtId="164" fontId="7" fillId="5" borderId="6" pivotButton="0" quotePrefix="0" xfId="1"/>
    <xf numFmtId="9" fontId="2" fillId="5" borderId="34" pivotButton="0" quotePrefix="0" xfId="2"/>
    <xf numFmtId="0" fontId="20" fillId="5" borderId="65" pivotButton="0" quotePrefix="0" xfId="0"/>
    <xf numFmtId="164" fontId="9" fillId="5" borderId="16" pivotButton="0" quotePrefix="0" xfId="1"/>
    <xf numFmtId="0" fontId="7" fillId="5" borderId="65" pivotButton="0" quotePrefix="0" xfId="0"/>
    <xf numFmtId="164" fontId="2" fillId="5" borderId="28" pivotButton="0" quotePrefix="0" xfId="1"/>
    <xf numFmtId="164" fontId="2" fillId="5" borderId="33" pivotButton="0" quotePrefix="0" xfId="1"/>
    <xf numFmtId="164" fontId="9" fillId="0" borderId="45" pivotButton="0" quotePrefix="0" xfId="1"/>
    <xf numFmtId="0" fontId="0" fillId="33" borderId="6" pivotButton="0" quotePrefix="0" xfId="0"/>
    <xf numFmtId="164" fontId="7" fillId="33" borderId="6" applyAlignment="1" pivotButton="0" quotePrefix="0" xfId="2">
      <alignment horizontal="left"/>
    </xf>
    <xf numFmtId="164" fontId="0" fillId="33" borderId="6" pivotButton="0" quotePrefix="0" xfId="1"/>
    <xf numFmtId="164" fontId="7" fillId="33" borderId="6" applyAlignment="1" pivotButton="0" quotePrefix="0" xfId="1">
      <alignment horizontal="left"/>
    </xf>
    <xf numFmtId="164" fontId="0" fillId="20" borderId="58" pivotButton="0" quotePrefix="0" xfId="0"/>
    <xf numFmtId="164" fontId="0" fillId="20" borderId="35" pivotButton="0" quotePrefix="0" xfId="0"/>
    <xf numFmtId="164" fontId="7" fillId="20" borderId="9" pivotButton="0" quotePrefix="0" xfId="0"/>
    <xf numFmtId="164" fontId="7" fillId="20" borderId="0" pivotButton="0" quotePrefix="0" xfId="0"/>
    <xf numFmtId="164" fontId="0" fillId="32" borderId="58" pivotButton="0" quotePrefix="0" xfId="0"/>
    <xf numFmtId="164" fontId="7" fillId="32" borderId="9" pivotButton="0" quotePrefix="0" xfId="0"/>
    <xf numFmtId="164" fontId="7" fillId="32" borderId="0" pivotButton="0" quotePrefix="0" xfId="0"/>
    <xf numFmtId="164" fontId="2" fillId="7" borderId="9" pivotButton="0" quotePrefix="0" xfId="1"/>
    <xf numFmtId="164" fontId="2" fillId="7" borderId="0" pivotButton="0" quotePrefix="0" xfId="1"/>
    <xf numFmtId="164" fontId="0" fillId="7" borderId="58" pivotButton="0" quotePrefix="0" xfId="0"/>
    <xf numFmtId="164" fontId="0" fillId="7" borderId="35" pivotButton="0" quotePrefix="0" xfId="0"/>
    <xf numFmtId="164" fontId="7" fillId="7" borderId="9" pivotButton="0" quotePrefix="0" xfId="0"/>
    <xf numFmtId="164" fontId="7" fillId="7" borderId="0" pivotButton="0" quotePrefix="0" xfId="0"/>
    <xf numFmtId="164" fontId="2" fillId="4" borderId="0" pivotButton="0" quotePrefix="0" xfId="1"/>
    <xf numFmtId="164" fontId="2" fillId="30" borderId="0" pivotButton="0" quotePrefix="0" xfId="1"/>
    <xf numFmtId="164" fontId="0" fillId="30" borderId="35" pivotButton="0" quotePrefix="0" xfId="0"/>
    <xf numFmtId="164" fontId="7" fillId="30" borderId="0" pivotButton="0" quotePrefix="0" xfId="0"/>
    <xf numFmtId="164" fontId="2" fillId="26" borderId="0" pivotButton="0" quotePrefix="0" xfId="1"/>
    <xf numFmtId="164" fontId="0" fillId="26" borderId="35" pivotButton="0" quotePrefix="0" xfId="0"/>
    <xf numFmtId="164" fontId="7" fillId="26" borderId="0" pivotButton="0" quotePrefix="0" xfId="0"/>
    <xf numFmtId="164" fontId="2" fillId="4" borderId="5" pivotButton="0" quotePrefix="0" xfId="1"/>
    <xf numFmtId="0" fontId="0" fillId="4" borderId="33" pivotButton="0" quotePrefix="0" xfId="0"/>
    <xf numFmtId="164" fontId="0" fillId="4" borderId="36" pivotButton="0" quotePrefix="0" xfId="0"/>
    <xf numFmtId="0" fontId="5" fillId="4" borderId="41" pivotButton="0" quotePrefix="0" xfId="0"/>
    <xf numFmtId="164" fontId="7" fillId="4" borderId="45" pivotButton="0" quotePrefix="0" xfId="0"/>
    <xf numFmtId="164" fontId="2" fillId="0" borderId="36" pivotButton="0" quotePrefix="0" xfId="0"/>
    <xf numFmtId="0" fontId="2" fillId="7" borderId="63" pivotButton="0" quotePrefix="0" xfId="0"/>
    <xf numFmtId="164" fontId="7" fillId="5" borderId="10" pivotButton="0" quotePrefix="0" xfId="1"/>
    <xf numFmtId="164" fontId="20" fillId="0" borderId="29" pivotButton="0" quotePrefix="0" xfId="1"/>
    <xf numFmtId="9" fontId="20" fillId="0" borderId="34" pivotButton="0" quotePrefix="0" xfId="2"/>
    <xf numFmtId="9" fontId="27" fillId="0" borderId="17" pivotButton="0" quotePrefix="0" xfId="2"/>
    <xf numFmtId="9" fontId="7" fillId="5" borderId="18" applyAlignment="1" pivotButton="0" quotePrefix="0" xfId="2">
      <alignment horizontal="center"/>
    </xf>
    <xf numFmtId="164" fontId="7" fillId="5" borderId="39" applyAlignment="1" pivotButton="0" quotePrefix="0" xfId="0">
      <alignment horizontal="center"/>
    </xf>
    <xf numFmtId="9" fontId="20" fillId="34" borderId="34" pivotButton="0" quotePrefix="0" xfId="2"/>
    <xf numFmtId="9" fontId="27" fillId="34" borderId="17" pivotButton="0" quotePrefix="0" xfId="2"/>
    <xf numFmtId="9" fontId="20" fillId="14" borderId="34" pivotButton="0" quotePrefix="0" xfId="2"/>
    <xf numFmtId="9" fontId="27" fillId="14" borderId="17" pivotButton="0" quotePrefix="0" xfId="2"/>
    <xf numFmtId="9" fontId="0" fillId="34" borderId="34" pivotButton="0" quotePrefix="0" xfId="2"/>
    <xf numFmtId="164" fontId="20" fillId="0" borderId="6" pivotButton="0" quotePrefix="0" xfId="1"/>
    <xf numFmtId="9" fontId="5" fillId="5" borderId="34" pivotButton="0" quotePrefix="0" xfId="2"/>
    <xf numFmtId="0" fontId="2" fillId="5" borderId="5" applyAlignment="1" pivotButton="0" quotePrefix="0" xfId="0">
      <alignment horizontal="center"/>
    </xf>
    <xf numFmtId="164" fontId="2" fillId="20" borderId="9" applyAlignment="1" pivotButton="0" quotePrefix="0" xfId="1">
      <alignment horizontal="center"/>
    </xf>
    <xf numFmtId="164" fontId="2" fillId="20" borderId="0" applyAlignment="1" pivotButton="0" quotePrefix="0" xfId="1">
      <alignment horizontal="center"/>
    </xf>
    <xf numFmtId="164" fontId="2" fillId="32" borderId="9" applyAlignment="1" pivotButton="0" quotePrefix="0" xfId="1">
      <alignment horizontal="center"/>
    </xf>
    <xf numFmtId="164" fontId="2" fillId="32" borderId="0" applyAlignment="1" pivotButton="0" quotePrefix="0" xfId="1">
      <alignment horizontal="center"/>
    </xf>
    <xf numFmtId="0" fontId="28" fillId="0" borderId="0" pivotButton="0" quotePrefix="0" xfId="0"/>
    <xf numFmtId="3" fontId="18" fillId="6" borderId="70" applyAlignment="1" pivotButton="0" quotePrefix="1" xfId="0">
      <alignment horizontal="center" wrapText="1"/>
    </xf>
    <xf numFmtId="164" fontId="29" fillId="35" borderId="70" pivotButton="0" quotePrefix="1" xfId="1"/>
    <xf numFmtId="164" fontId="30" fillId="36" borderId="70" pivotButton="0" quotePrefix="0" xfId="1"/>
    <xf numFmtId="164" fontId="30" fillId="36" borderId="70" pivotButton="0" quotePrefix="1" xfId="1"/>
    <xf numFmtId="0" fontId="4" fillId="35" borderId="71" applyAlignment="1" pivotButton="0" quotePrefix="1" xfId="0">
      <alignment vertical="center"/>
    </xf>
    <xf numFmtId="0" fontId="28" fillId="36" borderId="71" applyAlignment="1" pivotButton="0" quotePrefix="1" xfId="0">
      <alignment vertical="center"/>
    </xf>
    <xf numFmtId="0" fontId="28" fillId="36" borderId="71" pivotButton="0" quotePrefix="1" xfId="0"/>
    <xf numFmtId="0" fontId="4" fillId="27" borderId="71" pivotButton="0" quotePrefix="1" xfId="0"/>
    <xf numFmtId="3" fontId="18" fillId="6" borderId="75" applyAlignment="1" pivotButton="0" quotePrefix="1" xfId="0">
      <alignment horizontal="center" wrapText="1"/>
    </xf>
    <xf numFmtId="3" fontId="18" fillId="6" borderId="76" applyAlignment="1" pivotButton="0" quotePrefix="1" xfId="0">
      <alignment horizontal="center" wrapText="1"/>
    </xf>
    <xf numFmtId="164" fontId="29" fillId="35" borderId="75" pivotButton="0" quotePrefix="1" xfId="1"/>
    <xf numFmtId="164" fontId="29" fillId="35" borderId="76" pivotButton="0" quotePrefix="1" xfId="1"/>
    <xf numFmtId="164" fontId="30" fillId="36" borderId="75" pivotButton="0" quotePrefix="0" xfId="1"/>
    <xf numFmtId="164" fontId="30" fillId="36" borderId="76" pivotButton="0" quotePrefix="0" xfId="1"/>
    <xf numFmtId="164" fontId="30" fillId="36" borderId="75" pivotButton="0" quotePrefix="1" xfId="1"/>
    <xf numFmtId="164" fontId="30" fillId="36" borderId="76" pivotButton="0" quotePrefix="1" xfId="1"/>
    <xf numFmtId="164" fontId="29" fillId="27" borderId="77" pivotButton="0" quotePrefix="0" xfId="1"/>
    <xf numFmtId="164" fontId="29" fillId="27" borderId="78" pivotButton="0" quotePrefix="0" xfId="1"/>
    <xf numFmtId="164" fontId="29" fillId="27" borderId="79" pivotButton="0" quotePrefix="0" xfId="1"/>
    <xf numFmtId="10" fontId="28" fillId="0" borderId="0" pivotButton="0" quotePrefix="0" xfId="2"/>
    <xf numFmtId="0" fontId="28" fillId="36" borderId="80" pivotButton="0" quotePrefix="0" xfId="0"/>
    <xf numFmtId="9" fontId="20" fillId="0" borderId="36" pivotButton="0" quotePrefix="0" xfId="2"/>
    <xf numFmtId="9" fontId="7" fillId="5" borderId="38" pivotButton="0" quotePrefix="0" xfId="2"/>
    <xf numFmtId="164" fontId="20" fillId="0" borderId="48" pivotButton="0" quotePrefix="0" xfId="1"/>
    <xf numFmtId="9" fontId="7" fillId="5" borderId="15" pivotButton="0" quotePrefix="0" xfId="2"/>
    <xf numFmtId="164" fontId="20" fillId="0" borderId="8" pivotButton="0" quotePrefix="0" xfId="1"/>
    <xf numFmtId="9" fontId="20" fillId="0" borderId="15" pivotButton="0" quotePrefix="0" xfId="2"/>
    <xf numFmtId="164" fontId="2" fillId="68" borderId="0" pivotButton="0" quotePrefix="0" xfId="1"/>
    <xf numFmtId="164" fontId="0" fillId="68" borderId="35" pivotButton="0" quotePrefix="0" xfId="0"/>
    <xf numFmtId="164" fontId="7" fillId="68" borderId="0" pivotButton="0" quotePrefix="0" xfId="0"/>
    <xf numFmtId="10" fontId="0" fillId="0" borderId="34" pivotButton="0" quotePrefix="0" xfId="2"/>
    <xf numFmtId="164" fontId="20" fillId="5" borderId="6" pivotButton="0" quotePrefix="0" xfId="1"/>
    <xf numFmtId="10" fontId="0" fillId="14" borderId="34" pivotButton="0" quotePrefix="0" xfId="2"/>
    <xf numFmtId="164" fontId="2" fillId="68" borderId="9" pivotButton="0" quotePrefix="0" xfId="1"/>
    <xf numFmtId="164" fontId="0" fillId="68" borderId="58" pivotButton="0" quotePrefix="0" xfId="0"/>
    <xf numFmtId="164" fontId="7" fillId="68" borderId="9" pivotButton="0" quotePrefix="0" xfId="0"/>
    <xf numFmtId="10" fontId="0" fillId="0" borderId="56" pivotButton="0" quotePrefix="0" xfId="2"/>
    <xf numFmtId="164" fontId="20" fillId="0" borderId="54" pivotButton="0" quotePrefix="0" xfId="1"/>
    <xf numFmtId="10" fontId="0" fillId="0" borderId="34" pivotButton="0" quotePrefix="0" xfId="2"/>
    <xf numFmtId="10" fontId="2" fillId="5" borderId="92" pivotButton="0" quotePrefix="0" xfId="2"/>
    <xf numFmtId="164" fontId="20" fillId="0" borderId="55" pivotButton="0" quotePrefix="0" xfId="1"/>
    <xf numFmtId="164" fontId="2" fillId="68" borderId="40" pivotButton="0" quotePrefix="0" xfId="1"/>
    <xf numFmtId="164" fontId="2" fillId="68" borderId="43" pivotButton="0" quotePrefix="0" xfId="1"/>
    <xf numFmtId="164" fontId="20" fillId="0" borderId="12" pivotButton="0" quotePrefix="0" xfId="1"/>
    <xf numFmtId="10" fontId="0" fillId="0" borderId="13" pivotButton="0" quotePrefix="0" xfId="2"/>
    <xf numFmtId="164" fontId="20" fillId="0" borderId="10" pivotButton="0" quotePrefix="0" xfId="1"/>
    <xf numFmtId="164" fontId="9" fillId="0" borderId="41" pivotButton="0" quotePrefix="0" xfId="1"/>
    <xf numFmtId="164" fontId="9" fillId="5" borderId="81" pivotButton="0" quotePrefix="0" xfId="1"/>
    <xf numFmtId="164" fontId="7" fillId="0" borderId="93" applyAlignment="1" pivotButton="0" quotePrefix="0" xfId="1">
      <alignment horizontal="left"/>
    </xf>
    <xf numFmtId="164" fontId="7" fillId="0" borderId="94" applyAlignment="1" pivotButton="0" quotePrefix="0" xfId="1">
      <alignment horizontal="left"/>
    </xf>
    <xf numFmtId="164" fontId="2" fillId="5" borderId="53" pivotButton="0" quotePrefix="0" xfId="1"/>
    <xf numFmtId="10" fontId="0" fillId="14" borderId="15" pivotButton="0" quotePrefix="0" xfId="2"/>
    <xf numFmtId="164" fontId="7" fillId="5" borderId="12" pivotButton="0" quotePrefix="0" xfId="1"/>
    <xf numFmtId="164" fontId="7" fillId="5" borderId="55" pivotButton="0" quotePrefix="0" xfId="1"/>
    <xf numFmtId="164" fontId="2" fillId="5" borderId="81" pivotButton="0" quotePrefix="0" xfId="1"/>
    <xf numFmtId="10" fontId="0" fillId="14" borderId="56" pivotButton="0" quotePrefix="0" xfId="2"/>
    <xf numFmtId="9" fontId="6" fillId="0" borderId="17" pivotButton="0" quotePrefix="0" xfId="2"/>
    <xf numFmtId="170" fontId="0" fillId="0" borderId="6" pivotButton="0" quotePrefix="0" xfId="1"/>
    <xf numFmtId="10" fontId="0" fillId="7" borderId="56" pivotButton="0" quotePrefix="0" xfId="2"/>
    <xf numFmtId="164" fontId="20" fillId="0" borderId="8" pivotButton="0" quotePrefix="0" xfId="1"/>
    <xf numFmtId="0" fontId="2" fillId="15" borderId="25" applyAlignment="1" pivotButton="0" quotePrefix="0" xfId="0">
      <alignment wrapText="1"/>
    </xf>
    <xf numFmtId="9" fontId="2" fillId="15" borderId="25" applyAlignment="1" pivotButton="0" quotePrefix="0" xfId="2">
      <alignment horizontal="center" vertical="center"/>
    </xf>
    <xf numFmtId="9" fontId="2" fillId="5" borderId="25" applyAlignment="1" pivotButton="0" quotePrefix="0" xfId="2">
      <alignment horizontal="center" vertical="center"/>
    </xf>
    <xf numFmtId="10" fontId="0" fillId="34" borderId="34" pivotButton="0" quotePrefix="0" xfId="2"/>
    <xf numFmtId="10" fontId="0" fillId="34" borderId="15" pivotButton="0" quotePrefix="0" xfId="2"/>
    <xf numFmtId="10" fontId="0" fillId="34" borderId="92" pivotButton="0" quotePrefix="0" xfId="2"/>
    <xf numFmtId="17" fontId="0" fillId="0" borderId="0" pivotButton="0" quotePrefix="0" xfId="0"/>
    <xf numFmtId="0" fontId="0" fillId="0" borderId="6" applyAlignment="1" pivotButton="0" quotePrefix="0" xfId="0">
      <alignment horizontal="center" vertical="center"/>
    </xf>
    <xf numFmtId="10" fontId="0" fillId="0" borderId="0" pivotButton="0" quotePrefix="0" xfId="0"/>
    <xf numFmtId="0" fontId="2" fillId="0" borderId="6" pivotButton="0" quotePrefix="0" xfId="0"/>
    <xf numFmtId="164" fontId="0" fillId="3" borderId="9" applyAlignment="1" pivotButton="0" quotePrefix="0" xfId="1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164" fontId="2" fillId="9" borderId="0" applyAlignment="1" pivotButton="0" quotePrefix="0" xfId="1">
      <alignment horizontal="center" vertical="center" wrapText="1"/>
    </xf>
    <xf numFmtId="164" fontId="2" fillId="5" borderId="0" applyAlignment="1" pivotButton="0" quotePrefix="0" xfId="1">
      <alignment horizontal="center" vertical="center" wrapText="1"/>
    </xf>
    <xf numFmtId="164" fontId="2" fillId="8" borderId="44" applyAlignment="1" pivotButton="0" quotePrefix="0" xfId="1">
      <alignment horizontal="center" vertical="center" wrapText="1"/>
    </xf>
    <xf numFmtId="0" fontId="0" fillId="0" borderId="0" applyAlignment="1" pivotButton="0" quotePrefix="0" xfId="0">
      <alignment vertical="center"/>
    </xf>
    <xf numFmtId="0" fontId="0" fillId="2" borderId="3" applyAlignment="1" pivotButton="0" quotePrefix="0" xfId="0">
      <alignment vertical="center"/>
    </xf>
    <xf numFmtId="0" fontId="0" fillId="2" borderId="27" applyAlignment="1" pivotButton="0" quotePrefix="0" xfId="0">
      <alignment vertical="center"/>
    </xf>
    <xf numFmtId="0" fontId="7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0" fillId="0" borderId="6" applyAlignment="1" pivotButton="0" quotePrefix="0" xfId="0">
      <alignment vertical="center"/>
    </xf>
    <xf numFmtId="164" fontId="0" fillId="3" borderId="33" applyAlignment="1" pivotButton="0" quotePrefix="0" xfId="1">
      <alignment vertical="center"/>
    </xf>
    <xf numFmtId="164" fontId="0" fillId="3" borderId="6" applyAlignment="1" pivotButton="0" quotePrefix="0" xfId="1">
      <alignment vertical="center"/>
    </xf>
    <xf numFmtId="164" fontId="2" fillId="5" borderId="6" applyAlignment="1" pivotButton="0" quotePrefix="0" xfId="0">
      <alignment vertical="center"/>
    </xf>
    <xf numFmtId="164" fontId="2" fillId="9" borderId="6" applyAlignment="1" pivotButton="0" quotePrefix="0" xfId="1">
      <alignment vertical="center"/>
    </xf>
    <xf numFmtId="164" fontId="0" fillId="0" borderId="6" applyAlignment="1" pivotButton="0" quotePrefix="0" xfId="1">
      <alignment vertical="center"/>
    </xf>
    <xf numFmtId="164" fontId="2" fillId="5" borderId="6" applyAlignment="1" pivotButton="0" quotePrefix="0" xfId="1">
      <alignment vertical="center"/>
    </xf>
    <xf numFmtId="164" fontId="2" fillId="8" borderId="34" applyAlignment="1" pivotButton="0" quotePrefix="0" xfId="1">
      <alignment vertical="center"/>
    </xf>
    <xf numFmtId="164" fontId="0" fillId="0" borderId="36" applyAlignment="1" pivotButton="0" quotePrefix="0" xfId="0">
      <alignment vertical="center"/>
    </xf>
    <xf numFmtId="164" fontId="19" fillId="0" borderId="6" applyAlignment="1" pivotButton="0" quotePrefix="0" xfId="1">
      <alignment vertical="center"/>
    </xf>
    <xf numFmtId="9" fontId="0" fillId="0" borderId="34" applyAlignment="1" pivotButton="0" quotePrefix="0" xfId="2">
      <alignment vertical="center"/>
    </xf>
    <xf numFmtId="0" fontId="0" fillId="0" borderId="50" applyAlignment="1" pivotButton="0" quotePrefix="0" xfId="0">
      <alignment vertical="center"/>
    </xf>
    <xf numFmtId="164" fontId="24" fillId="0" borderId="6" applyAlignment="1" pivotButton="0" quotePrefix="0" xfId="1">
      <alignment vertical="center"/>
    </xf>
    <xf numFmtId="164" fontId="0" fillId="0" borderId="6" applyAlignment="1" pivotButton="0" quotePrefix="0" xfId="1">
      <alignment vertical="center"/>
    </xf>
    <xf numFmtId="0" fontId="0" fillId="6" borderId="0" applyAlignment="1" pivotButton="0" quotePrefix="0" xfId="0">
      <alignment vertical="center"/>
    </xf>
    <xf numFmtId="0" fontId="0" fillId="0" borderId="10" applyAlignment="1" pivotButton="0" quotePrefix="0" xfId="0">
      <alignment vertical="center"/>
    </xf>
    <xf numFmtId="164" fontId="0" fillId="3" borderId="14" applyAlignment="1" pivotButton="0" quotePrefix="0" xfId="1">
      <alignment vertical="center"/>
    </xf>
    <xf numFmtId="164" fontId="2" fillId="5" borderId="10" applyAlignment="1" pivotButton="0" quotePrefix="0" xfId="0">
      <alignment vertical="center"/>
    </xf>
    <xf numFmtId="164" fontId="2" fillId="9" borderId="10" applyAlignment="1" pivotButton="0" quotePrefix="0" xfId="1">
      <alignment vertical="center"/>
    </xf>
    <xf numFmtId="164" fontId="0" fillId="0" borderId="10" applyAlignment="1" pivotButton="0" quotePrefix="0" xfId="1">
      <alignment vertical="center"/>
    </xf>
    <xf numFmtId="164" fontId="2" fillId="8" borderId="15" applyAlignment="1" pivotButton="0" quotePrefix="0" xfId="1">
      <alignment vertical="center"/>
    </xf>
    <xf numFmtId="0" fontId="5" fillId="5" borderId="1" applyAlignment="1" pivotButton="0" quotePrefix="0" xfId="0">
      <alignment vertical="center"/>
    </xf>
    <xf numFmtId="164" fontId="0" fillId="5" borderId="16" applyAlignment="1" pivotButton="0" quotePrefix="0" xfId="1">
      <alignment vertical="center"/>
    </xf>
    <xf numFmtId="164" fontId="0" fillId="5" borderId="7" applyAlignment="1" pivotButton="0" quotePrefix="0" xfId="1">
      <alignment vertical="center"/>
    </xf>
    <xf numFmtId="164" fontId="5" fillId="5" borderId="2" applyAlignment="1" pivotButton="0" quotePrefix="0" xfId="0">
      <alignment vertical="center"/>
    </xf>
    <xf numFmtId="164" fontId="7" fillId="5" borderId="7" applyAlignment="1" pivotButton="0" quotePrefix="0" xfId="1">
      <alignment vertical="center"/>
    </xf>
    <xf numFmtId="164" fontId="26" fillId="5" borderId="7" applyAlignment="1" pivotButton="0" quotePrefix="0" xfId="1">
      <alignment vertical="center"/>
    </xf>
    <xf numFmtId="164" fontId="7" fillId="5" borderId="25" applyAlignment="1" pivotButton="0" quotePrefix="0" xfId="1">
      <alignment vertical="center"/>
    </xf>
    <xf numFmtId="164" fontId="5" fillId="5" borderId="19" applyAlignment="1" pivotButton="0" quotePrefix="0" xfId="1">
      <alignment vertical="center"/>
    </xf>
    <xf numFmtId="0" fontId="5" fillId="5" borderId="9" applyAlignment="1" pivotButton="0" quotePrefix="0" xfId="0">
      <alignment vertical="center"/>
    </xf>
    <xf numFmtId="164" fontId="7" fillId="5" borderId="0" applyAlignment="1" pivotButton="0" quotePrefix="0" xfId="0">
      <alignment vertical="center"/>
    </xf>
    <xf numFmtId="164" fontId="7" fillId="5" borderId="9" applyAlignment="1" pivotButton="0" quotePrefix="0" xfId="0">
      <alignment vertical="center"/>
    </xf>
    <xf numFmtId="164" fontId="25" fillId="5" borderId="6" applyAlignment="1" pivotButton="0" quotePrefix="0" xfId="1">
      <alignment vertical="center"/>
    </xf>
    <xf numFmtId="9" fontId="25" fillId="5" borderId="15" applyAlignment="1" pivotButton="0" quotePrefix="0" xfId="2">
      <alignment vertical="center"/>
    </xf>
    <xf numFmtId="164" fontId="25" fillId="5" borderId="10" applyAlignment="1" pivotButton="0" quotePrefix="0" xfId="1">
      <alignment vertical="center"/>
    </xf>
    <xf numFmtId="0" fontId="2" fillId="5" borderId="51" applyAlignment="1" pivotButton="0" quotePrefix="0" xfId="0">
      <alignment vertical="center"/>
    </xf>
    <xf numFmtId="0" fontId="0" fillId="7" borderId="60" applyAlignment="1" pivotButton="0" quotePrefix="0" xfId="0">
      <alignment vertical="center"/>
    </xf>
    <xf numFmtId="164" fontId="0" fillId="7" borderId="68" applyAlignment="1" pivotButton="0" quotePrefix="0" xfId="1">
      <alignment vertical="center"/>
    </xf>
    <xf numFmtId="164" fontId="0" fillId="7" borderId="68" applyAlignment="1" pivotButton="0" quotePrefix="0" xfId="0">
      <alignment vertical="center"/>
    </xf>
    <xf numFmtId="164" fontId="0" fillId="7" borderId="67" applyAlignment="1" pivotButton="0" quotePrefix="0" xfId="1">
      <alignment vertical="center"/>
    </xf>
    <xf numFmtId="164" fontId="0" fillId="7" borderId="43" applyAlignment="1" pivotButton="0" quotePrefix="0" xfId="1">
      <alignment vertical="center"/>
    </xf>
    <xf numFmtId="164" fontId="19" fillId="7" borderId="43" applyAlignment="1" pivotButton="0" quotePrefix="0" xfId="1">
      <alignment vertical="center"/>
    </xf>
    <xf numFmtId="164" fontId="5" fillId="7" borderId="3" applyAlignment="1" pivotButton="0" quotePrefix="0" xfId="1">
      <alignment vertical="center"/>
    </xf>
    <xf numFmtId="164" fontId="0" fillId="0" borderId="0" applyAlignment="1" pivotButton="0" quotePrefix="0" xfId="1">
      <alignment vertical="center"/>
    </xf>
    <xf numFmtId="0" fontId="2" fillId="7" borderId="65" applyAlignment="1" pivotButton="0" quotePrefix="0" xfId="0">
      <alignment vertical="center"/>
    </xf>
    <xf numFmtId="0" fontId="20" fillId="7" borderId="66" applyAlignment="1" pivotButton="0" quotePrefix="0" xfId="0">
      <alignment vertical="center"/>
    </xf>
    <xf numFmtId="0" fontId="20" fillId="7" borderId="63" applyAlignment="1" pivotButton="0" quotePrefix="0" xfId="0">
      <alignment vertical="center"/>
    </xf>
    <xf numFmtId="0" fontId="8" fillId="0" borderId="16" applyAlignment="1" pivotButton="0" quotePrefix="0" xfId="0">
      <alignment vertical="center"/>
    </xf>
    <xf numFmtId="164" fontId="8" fillId="0" borderId="7" applyAlignment="1" pivotButton="0" quotePrefix="0" xfId="1">
      <alignment vertical="center"/>
    </xf>
    <xf numFmtId="164" fontId="8" fillId="0" borderId="7" applyAlignment="1" pivotButton="0" quotePrefix="0" xfId="0">
      <alignment vertical="center"/>
    </xf>
    <xf numFmtId="165" fontId="8" fillId="0" borderId="7" applyAlignment="1" pivotButton="0" quotePrefix="0" xfId="2">
      <alignment vertical="center"/>
    </xf>
    <xf numFmtId="165" fontId="8" fillId="0" borderId="26" applyAlignment="1" pivotButton="0" quotePrefix="0" xfId="2">
      <alignment vertical="center"/>
    </xf>
    <xf numFmtId="165" fontId="8" fillId="0" borderId="2" applyAlignment="1" pivotButton="0" quotePrefix="0" xfId="2">
      <alignment vertical="center"/>
    </xf>
    <xf numFmtId="165" fontId="8" fillId="0" borderId="25" applyAlignment="1" pivotButton="0" quotePrefix="0" xfId="2">
      <alignment vertical="center"/>
    </xf>
    <xf numFmtId="0" fontId="22" fillId="0" borderId="28" applyAlignment="1" pivotButton="0" quotePrefix="0" xfId="2">
      <alignment horizontal="left" vertical="center"/>
    </xf>
    <xf numFmtId="164" fontId="7" fillId="0" borderId="64" applyAlignment="1" pivotButton="0" quotePrefix="0" xfId="2">
      <alignment horizontal="left" vertical="center"/>
    </xf>
    <xf numFmtId="9" fontId="24" fillId="0" borderId="34" applyAlignment="1" pivotButton="0" quotePrefix="0" xfId="2">
      <alignment vertical="center"/>
    </xf>
    <xf numFmtId="164" fontId="24" fillId="0" borderId="29" applyAlignment="1" pivotButton="0" quotePrefix="0" xfId="1">
      <alignment vertical="center"/>
    </xf>
    <xf numFmtId="0" fontId="0" fillId="0" borderId="49" applyAlignment="1" pivotButton="0" quotePrefix="0" xfId="0">
      <alignment vertical="center"/>
    </xf>
    <xf numFmtId="0" fontId="4" fillId="7" borderId="16" applyAlignment="1" pivotButton="0" quotePrefix="0" xfId="0">
      <alignment vertical="center"/>
    </xf>
    <xf numFmtId="164" fontId="4" fillId="7" borderId="7" applyAlignment="1" pivotButton="0" quotePrefix="0" xfId="1">
      <alignment vertical="center"/>
    </xf>
    <xf numFmtId="0" fontId="4" fillId="7" borderId="7" applyAlignment="1" pivotButton="0" quotePrefix="0" xfId="0">
      <alignment vertical="center"/>
    </xf>
    <xf numFmtId="0" fontId="22" fillId="0" borderId="33" applyAlignment="1" pivotButton="0" quotePrefix="0" xfId="1">
      <alignment horizontal="left" vertical="center"/>
    </xf>
    <xf numFmtId="164" fontId="7" fillId="0" borderId="34" applyAlignment="1" pivotButton="0" quotePrefix="0" xfId="1">
      <alignment horizontal="left" vertical="center"/>
    </xf>
    <xf numFmtId="9" fontId="19" fillId="0" borderId="34" applyAlignment="1" pivotButton="0" quotePrefix="0" xfId="2">
      <alignment vertical="center"/>
    </xf>
    <xf numFmtId="164" fontId="19" fillId="0" borderId="29" applyAlignment="1" pivotButton="0" quotePrefix="0" xfId="1">
      <alignment vertical="center"/>
    </xf>
    <xf numFmtId="164" fontId="19" fillId="0" borderId="50" applyAlignment="1" pivotButton="0" quotePrefix="0" xfId="1">
      <alignment vertical="center"/>
    </xf>
    <xf numFmtId="0" fontId="22" fillId="0" borderId="33" applyAlignment="1" pivotButton="0" quotePrefix="0" xfId="1">
      <alignment horizontal="left" vertical="center"/>
    </xf>
    <xf numFmtId="164" fontId="7" fillId="0" borderId="34" applyAlignment="1" pivotButton="0" quotePrefix="0" xfId="1">
      <alignment horizontal="left" vertical="center"/>
    </xf>
    <xf numFmtId="164" fontId="0" fillId="0" borderId="0" applyAlignment="1" pivotButton="0" quotePrefix="0" xfId="0">
      <alignment vertical="center"/>
    </xf>
    <xf numFmtId="164" fontId="6" fillId="0" borderId="0" applyAlignment="1" pivotButton="0" quotePrefix="0" xfId="1">
      <alignment horizontal="center" vertical="center"/>
    </xf>
    <xf numFmtId="0" fontId="22" fillId="0" borderId="14" applyAlignment="1" pivotButton="0" quotePrefix="0" xfId="1">
      <alignment horizontal="left" vertical="center"/>
    </xf>
    <xf numFmtId="164" fontId="7" fillId="0" borderId="15" applyAlignment="1" pivotButton="0" quotePrefix="0" xfId="1">
      <alignment horizontal="left" vertical="center"/>
    </xf>
    <xf numFmtId="164" fontId="0" fillId="0" borderId="51" applyAlignment="1" pivotButton="0" quotePrefix="0" xfId="1">
      <alignment vertical="center"/>
    </xf>
    <xf numFmtId="164" fontId="9" fillId="0" borderId="16" applyAlignment="1" pivotButton="0" quotePrefix="0" xfId="1">
      <alignment vertical="center"/>
    </xf>
    <xf numFmtId="164" fontId="9" fillId="0" borderId="17" applyAlignment="1" pivotButton="0" quotePrefix="0" xfId="1">
      <alignment vertical="center"/>
    </xf>
    <xf numFmtId="164" fontId="23" fillId="0" borderId="7" applyAlignment="1" pivotButton="0" quotePrefix="0" xfId="1">
      <alignment vertical="center"/>
    </xf>
    <xf numFmtId="9" fontId="23" fillId="0" borderId="17" applyAlignment="1" pivotButton="0" quotePrefix="0" xfId="2">
      <alignment vertical="center"/>
    </xf>
    <xf numFmtId="164" fontId="6" fillId="0" borderId="7" applyAlignment="1" pivotButton="0" quotePrefix="0" xfId="1">
      <alignment vertical="center"/>
    </xf>
    <xf numFmtId="9" fontId="6" fillId="0" borderId="17" applyAlignment="1" pivotButton="0" quotePrefix="0" xfId="2">
      <alignment vertical="center"/>
    </xf>
    <xf numFmtId="164" fontId="9" fillId="0" borderId="52" applyAlignment="1" pivotButton="0" quotePrefix="0" xfId="1">
      <alignment vertical="center"/>
    </xf>
    <xf numFmtId="0" fontId="0" fillId="0" borderId="0" applyAlignment="1" pivotButton="0" quotePrefix="0" xfId="0">
      <alignment vertical="center" wrapText="1"/>
    </xf>
    <xf numFmtId="168" fontId="5" fillId="5" borderId="25" applyAlignment="1" pivotButton="0" quotePrefix="0" xfId="1">
      <alignment vertical="center"/>
    </xf>
    <xf numFmtId="164" fontId="2" fillId="7" borderId="7" applyAlignment="1" pivotButton="0" quotePrefix="0" xfId="1">
      <alignment vertical="center"/>
    </xf>
    <xf numFmtId="164" fontId="2" fillId="7" borderId="2" applyAlignment="1" pivotButton="0" quotePrefix="0" xfId="1">
      <alignment vertical="center"/>
    </xf>
    <xf numFmtId="164" fontId="8" fillId="7" borderId="7" pivotButton="0" quotePrefix="0" xfId="1"/>
    <xf numFmtId="164" fontId="4" fillId="7" borderId="7" pivotButton="0" quotePrefix="0" xfId="1"/>
    <xf numFmtId="164" fontId="4" fillId="7" borderId="26" pivotButton="0" quotePrefix="0" xfId="1"/>
    <xf numFmtId="171" fontId="8" fillId="5" borderId="17" pivotButton="0" quotePrefix="0" xfId="1"/>
    <xf numFmtId="0" fontId="13" fillId="0" borderId="0" applyAlignment="1" pivotButton="0" quotePrefix="0" xfId="0">
      <alignment vertical="center"/>
    </xf>
    <xf numFmtId="172" fontId="0" fillId="0" borderId="0" pivotButton="0" quotePrefix="0" xfId="0"/>
    <xf numFmtId="164" fontId="2" fillId="70" borderId="6" applyAlignment="1" pivotButton="0" quotePrefix="0" xfId="1">
      <alignment vertical="center"/>
    </xf>
    <xf numFmtId="172" fontId="2" fillId="70" borderId="0" pivotButton="0" quotePrefix="0" xfId="0"/>
    <xf numFmtId="164" fontId="0" fillId="0" borderId="6" pivotButton="0" quotePrefix="0" xfId="0"/>
    <xf numFmtId="0" fontId="0" fillId="13" borderId="6" pivotButton="0" quotePrefix="0" xfId="0"/>
    <xf numFmtId="0" fontId="45" fillId="0" borderId="0" pivotButton="0" quotePrefix="0" xfId="0"/>
    <xf numFmtId="164" fontId="46" fillId="9" borderId="6" pivotButton="0" quotePrefix="0" xfId="1"/>
    <xf numFmtId="173" fontId="45" fillId="0" borderId="6" pivotButton="0" quotePrefix="0" xfId="0"/>
    <xf numFmtId="0" fontId="45" fillId="13" borderId="6" pivotButton="0" quotePrefix="0" xfId="0"/>
    <xf numFmtId="173" fontId="45" fillId="0" borderId="0" pivotButton="0" quotePrefix="0" xfId="0"/>
    <xf numFmtId="164" fontId="2" fillId="0" borderId="46" pivotButton="0" quotePrefix="0" xfId="0"/>
    <xf numFmtId="164" fontId="2" fillId="0" borderId="6" pivotButton="0" quotePrefix="0" xfId="0"/>
    <xf numFmtId="173" fontId="0" fillId="0" borderId="6" pivotButton="0" quotePrefix="0" xfId="0"/>
    <xf numFmtId="173" fontId="0" fillId="0" borderId="36" pivotButton="0" quotePrefix="0" xfId="0"/>
    <xf numFmtId="164" fontId="2" fillId="0" borderId="35" pivotButton="0" quotePrefix="0" xfId="0"/>
    <xf numFmtId="0" fontId="2" fillId="17" borderId="6" pivotButton="0" quotePrefix="0" xfId="0"/>
    <xf numFmtId="164" fontId="2" fillId="17" borderId="6" pivotButton="0" quotePrefix="0" xfId="1"/>
    <xf numFmtId="164" fontId="0" fillId="17" borderId="6" pivotButton="0" quotePrefix="0" xfId="1"/>
    <xf numFmtId="164" fontId="2" fillId="17" borderId="8" pivotButton="0" quotePrefix="0" xfId="1"/>
    <xf numFmtId="173" fontId="0" fillId="0" borderId="0" pivotButton="0" quotePrefix="0" xfId="0"/>
    <xf numFmtId="0" fontId="3" fillId="0" borderId="45" applyAlignment="1" pivotButton="0" quotePrefix="0" xfId="1">
      <alignment horizontal="center"/>
    </xf>
    <xf numFmtId="165" fontId="8" fillId="0" borderId="0" pivotButton="0" quotePrefix="0" xfId="2"/>
    <xf numFmtId="171" fontId="8" fillId="5" borderId="0" pivotButton="0" quotePrefix="0" xfId="1"/>
    <xf numFmtId="164" fontId="2" fillId="71" borderId="30" pivotButton="0" quotePrefix="0" xfId="1"/>
    <xf numFmtId="164" fontId="44" fillId="17" borderId="39" applyAlignment="1" pivotButton="0" quotePrefix="0" xfId="1">
      <alignment horizontal="center"/>
    </xf>
    <xf numFmtId="164" fontId="44" fillId="7" borderId="39" applyAlignment="1" pivotButton="0" quotePrefix="0" xfId="1">
      <alignment horizontal="center"/>
    </xf>
    <xf numFmtId="164" fontId="44" fillId="20" borderId="39" applyAlignment="1" pivotButton="0" quotePrefix="0" xfId="1">
      <alignment horizontal="center"/>
    </xf>
    <xf numFmtId="164" fontId="44" fillId="27" borderId="39" applyAlignment="1" pivotButton="0" quotePrefix="0" xfId="1">
      <alignment horizontal="center" vertical="center"/>
    </xf>
    <xf numFmtId="164" fontId="44" fillId="22" borderId="62" applyAlignment="1" pivotButton="0" quotePrefix="0" xfId="1">
      <alignment horizontal="center"/>
    </xf>
    <xf numFmtId="164" fontId="44" fillId="28" borderId="39" applyAlignment="1" pivotButton="0" quotePrefix="0" xfId="1">
      <alignment horizontal="center"/>
    </xf>
    <xf numFmtId="164" fontId="44" fillId="29" borderId="39" applyAlignment="1" pivotButton="0" quotePrefix="0" xfId="1">
      <alignment horizontal="center"/>
    </xf>
    <xf numFmtId="164" fontId="44" fillId="26" borderId="39" applyAlignment="1" pivotButton="0" quotePrefix="0" xfId="1">
      <alignment horizontal="center"/>
    </xf>
    <xf numFmtId="164" fontId="2" fillId="8" borderId="0" applyAlignment="1" pivotButton="0" quotePrefix="0" xfId="1">
      <alignment horizontal="center" vertical="center"/>
    </xf>
    <xf numFmtId="0" fontId="2" fillId="5" borderId="3" applyAlignment="1" pivotButton="0" quotePrefix="0" xfId="0">
      <alignment horizontal="center" vertical="center"/>
    </xf>
    <xf numFmtId="164" fontId="2" fillId="8" borderId="44" applyAlignment="1" pivotButton="0" quotePrefix="0" xfId="1">
      <alignment horizontal="center" vertical="center"/>
    </xf>
    <xf numFmtId="0" fontId="7" fillId="0" borderId="82" applyAlignment="1" pivotButton="0" quotePrefix="0" xfId="0">
      <alignment horizontal="center" vertical="center"/>
    </xf>
    <xf numFmtId="0" fontId="0" fillId="0" borderId="63" applyAlignment="1" pivotButton="0" quotePrefix="0" xfId="0">
      <alignment horizontal="center" vertical="center"/>
    </xf>
    <xf numFmtId="0" fontId="20" fillId="0" borderId="63" pivotButton="0" quotePrefix="0" xfId="0"/>
    <xf numFmtId="9" fontId="20" fillId="0" borderId="34" pivotButton="0" quotePrefix="0" xfId="2"/>
    <xf numFmtId="10" fontId="27" fillId="0" borderId="17" pivotButton="0" quotePrefix="0" xfId="2"/>
    <xf numFmtId="164" fontId="0" fillId="3" borderId="9" applyAlignment="1" pivotButton="0" quotePrefix="0" xfId="1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9" borderId="0" applyAlignment="1" pivotButton="0" quotePrefix="0" xfId="0">
      <alignment vertical="center"/>
    </xf>
    <xf numFmtId="164" fontId="2" fillId="9" borderId="0" applyAlignment="1" pivotButton="0" quotePrefix="0" xfId="1">
      <alignment vertical="center"/>
    </xf>
    <xf numFmtId="164" fontId="0" fillId="0" borderId="0" applyAlignment="1" pivotButton="0" quotePrefix="0" xfId="1">
      <alignment vertical="center"/>
    </xf>
    <xf numFmtId="164" fontId="2" fillId="5" borderId="0" applyAlignment="1" pivotButton="0" quotePrefix="0" xfId="1">
      <alignment horizontal="center" vertical="center"/>
    </xf>
    <xf numFmtId="164" fontId="2" fillId="8" borderId="44" applyAlignment="1" pivotButton="0" quotePrefix="0" xfId="1">
      <alignment vertical="center"/>
    </xf>
    <xf numFmtId="0" fontId="9" fillId="7" borderId="16" applyAlignment="1" pivotButton="0" quotePrefix="0" xfId="0">
      <alignment vertical="center"/>
    </xf>
    <xf numFmtId="164" fontId="9" fillId="7" borderId="7" applyAlignment="1" pivotButton="0" quotePrefix="0" xfId="1">
      <alignment vertical="center"/>
    </xf>
    <xf numFmtId="168" fontId="6" fillId="5" borderId="25" applyAlignment="1" pivotButton="0" quotePrefix="0" xfId="1">
      <alignment vertical="center"/>
    </xf>
    <xf numFmtId="9" fontId="0" fillId="0" borderId="0" applyAlignment="1" pivotButton="0" quotePrefix="0" xfId="2">
      <alignment vertical="center"/>
    </xf>
    <xf numFmtId="9" fontId="0" fillId="0" borderId="0" pivotButton="0" quotePrefix="0" xfId="2"/>
    <xf numFmtId="164" fontId="2" fillId="0" borderId="6" pivotButton="0" quotePrefix="0" xfId="1"/>
    <xf numFmtId="164" fontId="0" fillId="7" borderId="25" pivotButton="0" quotePrefix="0" xfId="1"/>
    <xf numFmtId="0" fontId="0" fillId="7" borderId="6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164" fontId="0" fillId="7" borderId="63" pivotButton="0" quotePrefix="0" xfId="0"/>
    <xf numFmtId="164" fontId="20" fillId="7" borderId="65" pivotButton="0" quotePrefix="0" xfId="1"/>
    <xf numFmtId="164" fontId="1" fillId="9" borderId="6" pivotButton="0" quotePrefix="0" xfId="1"/>
    <xf numFmtId="0" fontId="10" fillId="0" borderId="95" applyAlignment="1" pivotButton="0" quotePrefix="0" xfId="45">
      <alignment vertical="center"/>
    </xf>
    <xf numFmtId="0" fontId="1" fillId="72" borderId="96" applyAlignment="1" pivotButton="0" quotePrefix="0" xfId="46">
      <alignment vertical="center"/>
    </xf>
    <xf numFmtId="0" fontId="10" fillId="0" borderId="95" applyAlignment="1" pivotButton="0" quotePrefix="0" xfId="45">
      <alignment horizontal="center" vertical="center"/>
    </xf>
    <xf numFmtId="0" fontId="10" fillId="0" borderId="97" applyAlignment="1" pivotButton="0" quotePrefix="0" xfId="45">
      <alignment horizontal="center" vertical="center"/>
    </xf>
    <xf numFmtId="3" fontId="10" fillId="0" borderId="98" applyAlignment="1" pivotButton="0" quotePrefix="0" xfId="45">
      <alignment horizontal="center" vertical="center"/>
    </xf>
    <xf numFmtId="3" fontId="10" fillId="0" borderId="99" applyAlignment="1" pivotButton="0" quotePrefix="0" xfId="45">
      <alignment horizontal="center" vertical="center"/>
    </xf>
    <xf numFmtId="3" fontId="10" fillId="0" borderId="100" applyAlignment="1" pivotButton="0" quotePrefix="0" xfId="45">
      <alignment horizontal="center" vertical="center"/>
    </xf>
    <xf numFmtId="3" fontId="10" fillId="0" borderId="101" applyAlignment="1" pivotButton="0" quotePrefix="0" xfId="45">
      <alignment vertical="center"/>
    </xf>
    <xf numFmtId="3" fontId="10" fillId="0" borderId="102" applyAlignment="1" pivotButton="0" quotePrefix="0" xfId="45">
      <alignment horizontal="center" vertical="center"/>
    </xf>
    <xf numFmtId="3" fontId="10" fillId="0" borderId="95" applyAlignment="1" pivotButton="0" quotePrefix="0" xfId="45">
      <alignment horizontal="center" vertical="center"/>
    </xf>
    <xf numFmtId="3" fontId="10" fillId="0" borderId="97" applyAlignment="1" pivotButton="0" quotePrefix="0" xfId="45">
      <alignment horizontal="center" vertical="center"/>
    </xf>
    <xf numFmtId="3" fontId="10" fillId="0" borderId="103" applyAlignment="1" pivotButton="0" quotePrefix="0" xfId="45">
      <alignment vertical="center"/>
    </xf>
    <xf numFmtId="0" fontId="10" fillId="0" borderId="104" applyAlignment="1" pivotButton="0" quotePrefix="0" xfId="45">
      <alignment vertical="center"/>
    </xf>
    <xf numFmtId="164" fontId="20" fillId="7" borderId="66" pivotButton="0" quotePrefix="0" xfId="0"/>
    <xf numFmtId="164" fontId="7" fillId="7" borderId="66" pivotButton="0" quotePrefix="0" xfId="0"/>
    <xf numFmtId="164" fontId="0" fillId="0" borderId="38" pivotButton="0" quotePrefix="0" xfId="0"/>
    <xf numFmtId="164" fontId="5" fillId="0" borderId="6" pivotButton="0" quotePrefix="0" xfId="0"/>
    <xf numFmtId="164" fontId="9" fillId="0" borderId="0" pivotButton="0" quotePrefix="0" xfId="1"/>
    <xf numFmtId="164" fontId="27" fillId="0" borderId="68" pivotButton="0" quotePrefix="0" xfId="1"/>
    <xf numFmtId="9" fontId="8" fillId="0" borderId="7" pivotButton="0" quotePrefix="0" xfId="2"/>
    <xf numFmtId="0" fontId="0" fillId="7" borderId="66" applyAlignment="1" pivotButton="0" quotePrefix="0" xfId="0">
      <alignment vertical="center"/>
    </xf>
    <xf numFmtId="164" fontId="7" fillId="0" borderId="31" applyAlignment="1" pivotButton="0" quotePrefix="0" xfId="2">
      <alignment horizontal="left" vertical="center"/>
    </xf>
    <xf numFmtId="164" fontId="7" fillId="0" borderId="36" applyAlignment="1" pivotButton="0" quotePrefix="0" xfId="1">
      <alignment horizontal="left" vertical="center"/>
    </xf>
    <xf numFmtId="164" fontId="7" fillId="0" borderId="36" applyAlignment="1" pivotButton="0" quotePrefix="0" xfId="1">
      <alignment horizontal="left" vertical="center"/>
    </xf>
    <xf numFmtId="164" fontId="7" fillId="0" borderId="38" applyAlignment="1" pivotButton="0" quotePrefix="0" xfId="1">
      <alignment horizontal="left" vertical="center"/>
    </xf>
    <xf numFmtId="0" fontId="7" fillId="0" borderId="106" applyAlignment="1" pivotButton="0" quotePrefix="0" xfId="0">
      <alignment horizontal="center" vertical="center"/>
    </xf>
    <xf numFmtId="164" fontId="19" fillId="0" borderId="46" applyAlignment="1" pivotButton="0" quotePrefix="0" xfId="1">
      <alignment vertical="center"/>
    </xf>
    <xf numFmtId="0" fontId="2" fillId="5" borderId="6" applyAlignment="1" pivotButton="0" quotePrefix="0" xfId="0">
      <alignment horizontal="center" vertical="center"/>
    </xf>
    <xf numFmtId="9" fontId="0" fillId="0" borderId="0" pivotButton="0" quotePrefix="0" xfId="1"/>
    <xf numFmtId="0" fontId="2" fillId="5" borderId="40" applyAlignment="1" pivotButton="0" quotePrefix="0" xfId="0">
      <alignment horizontal="center" vertical="center" wrapText="1"/>
    </xf>
    <xf numFmtId="0" fontId="2" fillId="9" borderId="6" applyAlignment="1" pivotButton="0" quotePrefix="0" xfId="0">
      <alignment horizontal="center" vertical="center" wrapText="1"/>
    </xf>
    <xf numFmtId="164" fontId="2" fillId="9" borderId="6" applyAlignment="1" pivotButton="0" quotePrefix="0" xfId="1">
      <alignment horizontal="center" vertical="center" wrapText="1"/>
    </xf>
    <xf numFmtId="164" fontId="0" fillId="0" borderId="6" applyAlignment="1" pivotButton="0" quotePrefix="0" xfId="1">
      <alignment horizontal="center" vertical="center" wrapText="1"/>
    </xf>
    <xf numFmtId="164" fontId="2" fillId="5" borderId="28" pivotButton="0" quotePrefix="0" xfId="0"/>
    <xf numFmtId="164" fontId="7" fillId="7" borderId="25" applyAlignment="1" pivotButton="0" quotePrefix="0" xfId="1">
      <alignment vertical="center"/>
    </xf>
    <xf numFmtId="164" fontId="20" fillId="7" borderId="65" applyAlignment="1" pivotButton="0" quotePrefix="0" xfId="0">
      <alignment vertical="center"/>
    </xf>
    <xf numFmtId="164" fontId="20" fillId="7" borderId="65" pivotButton="0" quotePrefix="0" xfId="0"/>
    <xf numFmtId="164" fontId="20" fillId="7" borderId="66" pivotButton="0" quotePrefix="0" xfId="1"/>
    <xf numFmtId="164" fontId="7" fillId="0" borderId="49" applyAlignment="1" pivotButton="0" quotePrefix="0" xfId="2">
      <alignment horizontal="left"/>
    </xf>
    <xf numFmtId="164" fontId="7" fillId="0" borderId="50" applyAlignment="1" pivotButton="0" quotePrefix="0" xfId="1">
      <alignment horizontal="left"/>
    </xf>
    <xf numFmtId="164" fontId="7" fillId="0" borderId="50" applyAlignment="1" pivotButton="0" quotePrefix="0" xfId="1">
      <alignment horizontal="left"/>
    </xf>
    <xf numFmtId="164" fontId="7" fillId="0" borderId="51" applyAlignment="1" pivotButton="0" quotePrefix="0" xfId="1">
      <alignment horizontal="left"/>
    </xf>
    <xf numFmtId="164" fontId="9" fillId="0" borderId="19" pivotButton="0" quotePrefix="0" xfId="1"/>
    <xf numFmtId="0" fontId="5" fillId="5" borderId="3" pivotButton="0" quotePrefix="0" xfId="0"/>
    <xf numFmtId="0" fontId="2" fillId="7" borderId="18" pivotButton="0" quotePrefix="0" xfId="0"/>
    <xf numFmtId="0" fontId="22" fillId="0" borderId="27" applyAlignment="1" pivotButton="0" quotePrefix="0" xfId="2">
      <alignment horizontal="left"/>
    </xf>
    <xf numFmtId="0" fontId="22" fillId="0" borderId="32" applyAlignment="1" pivotButton="0" quotePrefix="0" xfId="1">
      <alignment horizontal="left"/>
    </xf>
    <xf numFmtId="0" fontId="22" fillId="0" borderId="32" applyAlignment="1" pivotButton="0" quotePrefix="0" xfId="1">
      <alignment horizontal="left"/>
    </xf>
    <xf numFmtId="0" fontId="22" fillId="0" borderId="20" applyAlignment="1" pivotButton="0" quotePrefix="0" xfId="1">
      <alignment horizontal="left"/>
    </xf>
    <xf numFmtId="164" fontId="9" fillId="0" borderId="25" pivotButton="0" quotePrefix="0" xfId="1"/>
    <xf numFmtId="1" fontId="0" fillId="0" borderId="0" pivotButton="0" quotePrefix="0" xfId="0"/>
    <xf numFmtId="164" fontId="9" fillId="7" borderId="6" pivotButton="0" quotePrefix="0" xfId="1"/>
    <xf numFmtId="164" fontId="9" fillId="7" borderId="45" pivotButton="0" quotePrefix="0" xfId="1"/>
    <xf numFmtId="165" fontId="8" fillId="0" borderId="6" pivotButton="0" quotePrefix="0" xfId="2"/>
    <xf numFmtId="165" fontId="8" fillId="0" borderId="19" pivotButton="0" quotePrefix="0" xfId="2"/>
    <xf numFmtId="164" fontId="7" fillId="5" borderId="67" pivotButton="0" quotePrefix="0" xfId="1"/>
    <xf numFmtId="164" fontId="0" fillId="7" borderId="6" pivotButton="0" quotePrefix="0" xfId="1"/>
    <xf numFmtId="164" fontId="5" fillId="7" borderId="4" pivotButton="0" quotePrefix="0" xfId="1"/>
    <xf numFmtId="164" fontId="9" fillId="0" borderId="6" pivotButton="0" quotePrefix="0" xfId="1"/>
    <xf numFmtId="164" fontId="9" fillId="0" borderId="6" pivotButton="0" quotePrefix="0" xfId="1"/>
    <xf numFmtId="0" fontId="20" fillId="7" borderId="6" pivotButton="0" quotePrefix="0" xfId="0"/>
    <xf numFmtId="164" fontId="20" fillId="7" borderId="6" pivotButton="0" quotePrefix="0" xfId="1"/>
    <xf numFmtId="10" fontId="0" fillId="0" borderId="40" pivotButton="0" quotePrefix="0" xfId="2"/>
    <xf numFmtId="9" fontId="0" fillId="0" borderId="4" pivotButton="0" quotePrefix="0" xfId="2"/>
    <xf numFmtId="10" fontId="0" fillId="0" borderId="9" pivotButton="0" quotePrefix="0" xfId="2"/>
    <xf numFmtId="9" fontId="0" fillId="0" borderId="44" pivotButton="0" quotePrefix="0" xfId="2"/>
    <xf numFmtId="164" fontId="0" fillId="0" borderId="43" pivotButton="0" quotePrefix="0" xfId="1"/>
    <xf numFmtId="164" fontId="0" fillId="0" borderId="93" pivotButton="0" quotePrefix="0" xfId="1"/>
    <xf numFmtId="164" fontId="0" fillId="0" borderId="94" pivotButton="0" quotePrefix="0" xfId="1"/>
    <xf numFmtId="9" fontId="0" fillId="0" borderId="62" pivotButton="0" quotePrefix="0" xfId="2"/>
    <xf numFmtId="0" fontId="0" fillId="0" borderId="42" applyAlignment="1" pivotButton="0" quotePrefix="0" xfId="0">
      <alignment vertical="center"/>
    </xf>
    <xf numFmtId="164" fontId="20" fillId="7" borderId="6" applyAlignment="1" pivotButton="0" quotePrefix="0" xfId="1">
      <alignment vertical="center"/>
    </xf>
    <xf numFmtId="164" fontId="0" fillId="7" borderId="66" applyAlignment="1" pivotButton="0" quotePrefix="0" xfId="0">
      <alignment vertical="center"/>
    </xf>
    <xf numFmtId="164" fontId="0" fillId="0" borderId="40" applyAlignment="1" pivotButton="0" quotePrefix="0" xfId="1">
      <alignment vertical="center"/>
    </xf>
    <xf numFmtId="9" fontId="0" fillId="0" borderId="4" applyAlignment="1" pivotButton="0" quotePrefix="0" xfId="2">
      <alignment vertical="center"/>
    </xf>
    <xf numFmtId="164" fontId="0" fillId="0" borderId="9" applyAlignment="1" pivotButton="0" quotePrefix="0" xfId="1">
      <alignment vertical="center"/>
    </xf>
    <xf numFmtId="9" fontId="0" fillId="0" borderId="44" applyAlignment="1" pivotButton="0" quotePrefix="0" xfId="2">
      <alignment vertical="center"/>
    </xf>
    <xf numFmtId="0" fontId="0" fillId="0" borderId="41" applyAlignment="1" pivotButton="0" quotePrefix="0" xfId="0">
      <alignment vertical="center"/>
    </xf>
    <xf numFmtId="9" fontId="0" fillId="0" borderId="3" applyAlignment="1" pivotButton="0" quotePrefix="0" xfId="2">
      <alignment vertical="center"/>
    </xf>
    <xf numFmtId="9" fontId="0" fillId="0" borderId="5" applyAlignment="1" pivotButton="0" quotePrefix="0" xfId="2">
      <alignment vertical="center"/>
    </xf>
    <xf numFmtId="0" fontId="0" fillId="0" borderId="69" applyAlignment="1" pivotButton="0" quotePrefix="0" xfId="0">
      <alignment vertical="center"/>
    </xf>
    <xf numFmtId="164" fontId="2" fillId="7" borderId="68" pivotButton="0" quotePrefix="0" xfId="0"/>
    <xf numFmtId="164" fontId="15" fillId="0" borderId="7" pivotButton="0" quotePrefix="0" xfId="1"/>
    <xf numFmtId="164" fontId="0" fillId="0" borderId="68" pivotButton="0" quotePrefix="0" xfId="1"/>
    <xf numFmtId="164" fontId="47" fillId="0" borderId="68" pivotButton="0" quotePrefix="0" xfId="1"/>
    <xf numFmtId="164" fontId="0" fillId="0" borderId="40" pivotButton="0" quotePrefix="0" xfId="1"/>
    <xf numFmtId="164" fontId="0" fillId="0" borderId="9" pivotButton="0" quotePrefix="0" xfId="1"/>
    <xf numFmtId="164" fontId="0" fillId="0" borderId="41" pivotButton="0" quotePrefix="0" xfId="1"/>
    <xf numFmtId="10" fontId="0" fillId="0" borderId="4" pivotButton="0" quotePrefix="0" xfId="2"/>
    <xf numFmtId="10" fontId="0" fillId="0" borderId="44" pivotButton="0" quotePrefix="0" xfId="2"/>
    <xf numFmtId="10" fontId="0" fillId="0" borderId="42" pivotButton="0" quotePrefix="0" xfId="2"/>
    <xf numFmtId="164" fontId="0" fillId="0" borderId="45" pivotButton="0" quotePrefix="0" xfId="1"/>
    <xf numFmtId="9" fontId="23" fillId="0" borderId="105" pivotButton="0" quotePrefix="0" xfId="2"/>
    <xf numFmtId="9" fontId="23" fillId="0" borderId="67" pivotButton="0" quotePrefix="0" xfId="2"/>
    <xf numFmtId="0" fontId="0" fillId="0" borderId="0" applyAlignment="1" pivotButton="0" quotePrefix="0" xfId="0">
      <alignment horizontal="right"/>
    </xf>
    <xf numFmtId="9" fontId="0" fillId="0" borderId="4" pivotButton="0" quotePrefix="0" xfId="0"/>
    <xf numFmtId="9" fontId="0" fillId="0" borderId="44" pivotButton="0" quotePrefix="0" xfId="0"/>
    <xf numFmtId="9" fontId="0" fillId="0" borderId="45" pivotButton="0" quotePrefix="0" xfId="2"/>
    <xf numFmtId="164" fontId="0" fillId="0" borderId="43" pivotButton="0" quotePrefix="0" xfId="0"/>
    <xf numFmtId="164" fontId="0" fillId="0" borderId="45" pivotButton="0" quotePrefix="0" xfId="0"/>
    <xf numFmtId="9" fontId="0" fillId="0" borderId="43" pivotButton="0" quotePrefix="0" xfId="2"/>
    <xf numFmtId="164" fontId="0" fillId="3" borderId="36" applyAlignment="1" pivotButton="0" quotePrefix="0" xfId="1">
      <alignment vertical="center"/>
    </xf>
    <xf numFmtId="164" fontId="0" fillId="5" borderId="26" applyAlignment="1" pivotButton="0" quotePrefix="0" xfId="1">
      <alignment vertical="center"/>
    </xf>
    <xf numFmtId="164" fontId="0" fillId="7" borderId="67" applyAlignment="1" pivotButton="0" quotePrefix="0" xfId="0">
      <alignment vertical="center"/>
    </xf>
    <xf numFmtId="164" fontId="8" fillId="0" borderId="26" applyAlignment="1" pivotButton="0" quotePrefix="0" xfId="0">
      <alignment vertical="center"/>
    </xf>
    <xf numFmtId="0" fontId="9" fillId="7" borderId="26" applyAlignment="1" pivotButton="0" quotePrefix="0" xfId="0">
      <alignment vertical="center"/>
    </xf>
    <xf numFmtId="164" fontId="2" fillId="9" borderId="46" applyAlignment="1" pivotButton="0" quotePrefix="0" xfId="1">
      <alignment vertical="center"/>
    </xf>
    <xf numFmtId="164" fontId="2" fillId="9" borderId="47" applyAlignment="1" pivotButton="0" quotePrefix="0" xfId="1">
      <alignment vertical="center"/>
    </xf>
    <xf numFmtId="164" fontId="0" fillId="7" borderId="61" applyAlignment="1" pivotButton="0" quotePrefix="0" xfId="1">
      <alignment vertical="center"/>
    </xf>
    <xf numFmtId="165" fontId="8" fillId="0" borderId="52" applyAlignment="1" pivotButton="0" quotePrefix="0" xfId="2">
      <alignment vertical="center"/>
    </xf>
    <xf numFmtId="164" fontId="9" fillId="7" borderId="52" pivotButton="0" quotePrefix="0" xfId="1"/>
    <xf numFmtId="164" fontId="2" fillId="5" borderId="32" applyAlignment="1" pivotButton="0" quotePrefix="0" xfId="0">
      <alignment vertical="center"/>
    </xf>
    <xf numFmtId="164" fontId="2" fillId="5" borderId="20" applyAlignment="1" pivotButton="0" quotePrefix="0" xfId="0">
      <alignment vertical="center"/>
    </xf>
    <xf numFmtId="164" fontId="5" fillId="5" borderId="25" applyAlignment="1" pivotButton="0" quotePrefix="0" xfId="0">
      <alignment vertical="center"/>
    </xf>
    <xf numFmtId="164" fontId="2" fillId="5" borderId="3" applyAlignment="1" pivotButton="0" quotePrefix="0" xfId="0">
      <alignment vertical="center"/>
    </xf>
    <xf numFmtId="164" fontId="8" fillId="5" borderId="25" applyAlignment="1" pivotButton="0" quotePrefix="0" xfId="0">
      <alignment vertical="center"/>
    </xf>
    <xf numFmtId="164" fontId="9" fillId="5" borderId="25" applyAlignment="1" pivotButton="0" quotePrefix="0" xfId="1">
      <alignment vertical="center"/>
    </xf>
    <xf numFmtId="164" fontId="20" fillId="7" borderId="65" applyAlignment="1" pivotButton="0" quotePrefix="0" xfId="1">
      <alignment vertical="center"/>
    </xf>
    <xf numFmtId="164" fontId="49" fillId="25" borderId="68" pivotButton="0" quotePrefix="0" xfId="1"/>
    <xf numFmtId="164" fontId="50" fillId="5" borderId="7" pivotButton="0" quotePrefix="0" xfId="1"/>
    <xf numFmtId="164" fontId="51" fillId="25" borderId="7" pivotButton="0" quotePrefix="0" xfId="1"/>
    <xf numFmtId="164" fontId="15" fillId="9" borderId="7" pivotButton="0" quotePrefix="0" xfId="1"/>
    <xf numFmtId="174" fontId="2" fillId="9" borderId="6" pivotButton="0" quotePrefix="0" xfId="1"/>
    <xf numFmtId="9" fontId="0" fillId="0" borderId="3" pivotButton="0" quotePrefix="0" xfId="2"/>
    <xf numFmtId="9" fontId="0" fillId="0" borderId="25" pivotButton="0" quotePrefix="0" xfId="2"/>
    <xf numFmtId="164" fontId="2" fillId="7" borderId="63" pivotButton="0" quotePrefix="0" xfId="0"/>
    <xf numFmtId="165" fontId="0" fillId="0" borderId="4" pivotButton="0" quotePrefix="0" xfId="2"/>
    <xf numFmtId="165" fontId="0" fillId="0" borderId="42" pivotButton="0" quotePrefix="0" xfId="2"/>
    <xf numFmtId="10" fontId="0" fillId="0" borderId="0" pivotButton="0" quotePrefix="0" xfId="2"/>
    <xf numFmtId="0" fontId="0" fillId="2" borderId="40" pivotButton="0" quotePrefix="0" xfId="0"/>
    <xf numFmtId="0" fontId="0" fillId="2" borderId="9" pivotButton="0" quotePrefix="0" xfId="0"/>
    <xf numFmtId="175" fontId="6" fillId="0" borderId="0" pivotButton="0" quotePrefix="0" xfId="47"/>
    <xf numFmtId="175" fontId="6" fillId="0" borderId="0" applyAlignment="1" pivotButton="0" quotePrefix="0" xfId="47">
      <alignment vertical="center"/>
    </xf>
    <xf numFmtId="175" fontId="0" fillId="0" borderId="0" pivotButton="0" quotePrefix="0" xfId="0"/>
    <xf numFmtId="175" fontId="52" fillId="0" borderId="0" pivotButton="0" quotePrefix="0" xfId="0"/>
    <xf numFmtId="175" fontId="53" fillId="20" borderId="0" pivotButton="0" quotePrefix="0" xfId="0"/>
    <xf numFmtId="175" fontId="0" fillId="0" borderId="0" applyAlignment="1" pivotButton="0" quotePrefix="0" xfId="0">
      <alignment vertical="center"/>
    </xf>
    <xf numFmtId="175" fontId="20" fillId="7" borderId="66" applyAlignment="1" pivotButton="0" quotePrefix="0" xfId="47">
      <alignment vertical="center"/>
    </xf>
    <xf numFmtId="164" fontId="4" fillId="3" borderId="1" applyAlignment="1" pivotButton="0" quotePrefix="0" xfId="1">
      <alignment horizontal="center" vertical="center"/>
    </xf>
    <xf numFmtId="164" fontId="4" fillId="3" borderId="2" applyAlignment="1" pivotButton="0" quotePrefix="0" xfId="1">
      <alignment horizontal="center" vertical="center"/>
    </xf>
    <xf numFmtId="164" fontId="4" fillId="3" borderId="4" applyAlignment="1" pivotButton="0" quotePrefix="0" xfId="1">
      <alignment horizontal="center" vertical="center"/>
    </xf>
    <xf numFmtId="17" fontId="3" fillId="0" borderId="1" applyAlignment="1" pivotButton="0" quotePrefix="0" xfId="1">
      <alignment horizontal="center" vertical="center"/>
    </xf>
    <xf numFmtId="0" fontId="3" fillId="0" borderId="2" applyAlignment="1" pivotButton="0" quotePrefix="0" xfId="1">
      <alignment horizontal="center" vertical="center"/>
    </xf>
    <xf numFmtId="0" fontId="3" fillId="0" borderId="19" applyAlignment="1" pivotButton="0" quotePrefix="0" xfId="1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9" applyAlignment="1" pivotButton="0" quotePrefix="0" xfId="0">
      <alignment horizontal="center" vertical="center"/>
    </xf>
    <xf numFmtId="0" fontId="2" fillId="17" borderId="40" applyAlignment="1" pivotButton="0" quotePrefix="0" xfId="0">
      <alignment horizontal="center" vertical="center"/>
    </xf>
    <xf numFmtId="0" fontId="2" fillId="17" borderId="43" applyAlignment="1" pivotButton="0" quotePrefix="0" xfId="0">
      <alignment horizontal="center" vertical="center"/>
    </xf>
    <xf numFmtId="0" fontId="2" fillId="17" borderId="4" applyAlignment="1" pivotButton="0" quotePrefix="0" xfId="0">
      <alignment horizontal="center" vertical="center"/>
    </xf>
    <xf numFmtId="0" fontId="3" fillId="0" borderId="41" applyAlignment="1" pivotButton="0" quotePrefix="0" xfId="1">
      <alignment horizontal="center"/>
    </xf>
    <xf numFmtId="0" fontId="3" fillId="0" borderId="45" applyAlignment="1" pivotButton="0" quotePrefix="0" xfId="1">
      <alignment horizontal="center"/>
    </xf>
    <xf numFmtId="0" fontId="4" fillId="4" borderId="2" applyAlignment="1" pivotButton="0" quotePrefix="0" xfId="0">
      <alignment horizontal="center" vertical="center"/>
    </xf>
    <xf numFmtId="0" fontId="14" fillId="0" borderId="40" applyAlignment="1" pivotButton="0" quotePrefix="0" xfId="0">
      <alignment horizontal="center" vertical="center"/>
    </xf>
    <xf numFmtId="0" fontId="14" fillId="0" borderId="43" applyAlignment="1" pivotButton="0" quotePrefix="0" xfId="0">
      <alignment horizontal="center" vertical="center"/>
    </xf>
    <xf numFmtId="0" fontId="14" fillId="0" borderId="4" applyAlignment="1" pivotButton="0" quotePrefix="0" xfId="0">
      <alignment horizontal="center" vertical="center"/>
    </xf>
    <xf numFmtId="0" fontId="14" fillId="0" borderId="41" applyAlignment="1" pivotButton="0" quotePrefix="0" xfId="0">
      <alignment horizontal="center" vertical="center"/>
    </xf>
    <xf numFmtId="0" fontId="14" fillId="0" borderId="45" applyAlignment="1" pivotButton="0" quotePrefix="0" xfId="0">
      <alignment horizontal="center" vertical="center"/>
    </xf>
    <xf numFmtId="0" fontId="14" fillId="0" borderId="42" applyAlignment="1" pivotButton="0" quotePrefix="0" xfId="0">
      <alignment horizontal="center" vertical="center"/>
    </xf>
    <xf numFmtId="0" fontId="13" fillId="0" borderId="11" applyAlignment="1" pivotButton="0" quotePrefix="0" xfId="0">
      <alignment horizontal="left" vertical="top" wrapText="1"/>
    </xf>
    <xf numFmtId="0" fontId="13" fillId="0" borderId="12" applyAlignment="1" pivotButton="0" quotePrefix="0" xfId="0">
      <alignment horizontal="left" vertical="top" wrapText="1"/>
    </xf>
    <xf numFmtId="0" fontId="13" fillId="0" borderId="13" applyAlignment="1" pivotButton="0" quotePrefix="0" xfId="0">
      <alignment horizontal="left" vertical="top" wrapText="1"/>
    </xf>
    <xf numFmtId="0" fontId="13" fillId="0" borderId="33" applyAlignment="1" pivotButton="0" quotePrefix="0" xfId="0">
      <alignment horizontal="left" vertical="top" wrapText="1"/>
    </xf>
    <xf numFmtId="0" fontId="13" fillId="0" borderId="6" applyAlignment="1" pivotButton="0" quotePrefix="0" xfId="0">
      <alignment horizontal="left" vertical="top" wrapText="1"/>
    </xf>
    <xf numFmtId="0" fontId="13" fillId="0" borderId="34" applyAlignment="1" pivotButton="0" quotePrefix="0" xfId="0">
      <alignment horizontal="left" vertical="top" wrapText="1"/>
    </xf>
    <xf numFmtId="0" fontId="18" fillId="21" borderId="40" applyAlignment="1" pivotButton="0" quotePrefix="0" xfId="0">
      <alignment horizontal="center" vertical="center"/>
    </xf>
    <xf numFmtId="0" fontId="14" fillId="21" borderId="43" applyAlignment="1" pivotButton="0" quotePrefix="0" xfId="0">
      <alignment horizontal="center" vertical="center"/>
    </xf>
    <xf numFmtId="0" fontId="14" fillId="21" borderId="4" applyAlignment="1" pivotButton="0" quotePrefix="0" xfId="0">
      <alignment horizontal="center" vertical="center"/>
    </xf>
    <xf numFmtId="0" fontId="14" fillId="21" borderId="41" applyAlignment="1" pivotButton="0" quotePrefix="0" xfId="0">
      <alignment horizontal="center" vertical="center"/>
    </xf>
    <xf numFmtId="0" fontId="14" fillId="21" borderId="45" applyAlignment="1" pivotButton="0" quotePrefix="0" xfId="0">
      <alignment horizontal="center" vertical="center"/>
    </xf>
    <xf numFmtId="0" fontId="14" fillId="21" borderId="42" applyAlignment="1" pivotButton="0" quotePrefix="0" xfId="0">
      <alignment horizontal="center" vertical="center"/>
    </xf>
    <xf numFmtId="0" fontId="18" fillId="22" borderId="40" applyAlignment="1" pivotButton="0" quotePrefix="0" xfId="0">
      <alignment horizontal="center" vertical="center"/>
    </xf>
    <xf numFmtId="0" fontId="2" fillId="22" borderId="43" applyAlignment="1" pivotButton="0" quotePrefix="0" xfId="0">
      <alignment horizontal="center" vertical="center"/>
    </xf>
    <xf numFmtId="0" fontId="2" fillId="22" borderId="4" applyAlignment="1" pivotButton="0" quotePrefix="0" xfId="0">
      <alignment horizontal="center" vertical="center"/>
    </xf>
    <xf numFmtId="0" fontId="2" fillId="22" borderId="41" applyAlignment="1" pivotButton="0" quotePrefix="0" xfId="0">
      <alignment horizontal="center" vertical="center"/>
    </xf>
    <xf numFmtId="0" fontId="2" fillId="22" borderId="45" applyAlignment="1" pivotButton="0" quotePrefix="0" xfId="0">
      <alignment horizontal="center" vertical="center"/>
    </xf>
    <xf numFmtId="0" fontId="2" fillId="22" borderId="42" applyAlignment="1" pivotButton="0" quotePrefix="0" xfId="0">
      <alignment horizontal="center" vertical="center"/>
    </xf>
    <xf numFmtId="0" fontId="18" fillId="23" borderId="40" applyAlignment="1" pivotButton="0" quotePrefix="0" xfId="0">
      <alignment horizontal="center" vertical="center"/>
    </xf>
    <xf numFmtId="0" fontId="14" fillId="23" borderId="43" applyAlignment="1" pivotButton="0" quotePrefix="0" xfId="0">
      <alignment horizontal="center" vertical="center"/>
    </xf>
    <xf numFmtId="0" fontId="0" fillId="0" borderId="43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14" fillId="23" borderId="41" applyAlignment="1" pivotButton="0" quotePrefix="0" xfId="0">
      <alignment horizontal="center" vertical="center"/>
    </xf>
    <xf numFmtId="0" fontId="14" fillId="23" borderId="45" applyAlignment="1" pivotButton="0" quotePrefix="0" xfId="0">
      <alignment horizontal="center" vertical="center"/>
    </xf>
    <xf numFmtId="0" fontId="0" fillId="0" borderId="45" applyAlignment="1" pivotButton="0" quotePrefix="0" xfId="0">
      <alignment vertical="center"/>
    </xf>
    <xf numFmtId="0" fontId="0" fillId="0" borderId="42" applyAlignment="1" pivotButton="0" quotePrefix="0" xfId="0">
      <alignment vertical="center"/>
    </xf>
    <xf numFmtId="0" fontId="18" fillId="24" borderId="40" applyAlignment="1" pivotButton="0" quotePrefix="0" xfId="0">
      <alignment horizontal="center" vertical="center"/>
    </xf>
    <xf numFmtId="0" fontId="18" fillId="24" borderId="43" applyAlignment="1" pivotButton="0" quotePrefix="0" xfId="0">
      <alignment horizontal="center" vertical="center"/>
    </xf>
    <xf numFmtId="0" fontId="2" fillId="0" borderId="43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0" fontId="18" fillId="24" borderId="41" applyAlignment="1" pivotButton="0" quotePrefix="0" xfId="0">
      <alignment horizontal="center" vertical="center"/>
    </xf>
    <xf numFmtId="0" fontId="18" fillId="24" borderId="45" applyAlignment="1" pivotButton="0" quotePrefix="0" xfId="0">
      <alignment horizontal="center" vertical="center"/>
    </xf>
    <xf numFmtId="0" fontId="2" fillId="0" borderId="45" applyAlignment="1" pivotButton="0" quotePrefix="0" xfId="0">
      <alignment vertical="center"/>
    </xf>
    <xf numFmtId="0" fontId="2" fillId="0" borderId="42" applyAlignment="1" pivotButton="0" quotePrefix="0" xfId="0">
      <alignment vertical="center"/>
    </xf>
    <xf numFmtId="0" fontId="13" fillId="0" borderId="53" applyAlignment="1" pivotButton="0" quotePrefix="0" xfId="0">
      <alignment horizontal="left" vertical="top" wrapText="1"/>
    </xf>
    <xf numFmtId="0" fontId="13" fillId="0" borderId="54" applyAlignment="1" pivotButton="0" quotePrefix="0" xfId="0">
      <alignment horizontal="left" vertical="top" wrapText="1"/>
    </xf>
    <xf numFmtId="0" fontId="13" fillId="0" borderId="56" applyAlignment="1" pivotButton="0" quotePrefix="0" xfId="0">
      <alignment horizontal="left" vertical="top" wrapText="1"/>
    </xf>
    <xf numFmtId="0" fontId="18" fillId="15" borderId="40" applyAlignment="1" pivotButton="0" quotePrefix="0" xfId="0">
      <alignment horizontal="center" vertical="center"/>
    </xf>
    <xf numFmtId="0" fontId="13" fillId="15" borderId="43" applyAlignment="1" pivotButton="0" quotePrefix="0" xfId="0">
      <alignment horizontal="center" vertical="center"/>
    </xf>
    <xf numFmtId="0" fontId="13" fillId="15" borderId="4" applyAlignment="1" pivotButton="0" quotePrefix="0" xfId="0">
      <alignment horizontal="center" vertical="center"/>
    </xf>
    <xf numFmtId="0" fontId="13" fillId="15" borderId="41" applyAlignment="1" pivotButton="0" quotePrefix="0" xfId="0">
      <alignment horizontal="center" vertical="center"/>
    </xf>
    <xf numFmtId="0" fontId="13" fillId="15" borderId="45" applyAlignment="1" pivotButton="0" quotePrefix="0" xfId="0">
      <alignment horizontal="center" vertical="center"/>
    </xf>
    <xf numFmtId="0" fontId="13" fillId="15" borderId="42" applyAlignment="1" pivotButton="0" quotePrefix="0" xfId="0">
      <alignment horizontal="center" vertical="center"/>
    </xf>
    <xf numFmtId="17" fontId="14" fillId="0" borderId="31" applyAlignment="1" pivotButton="0" quotePrefix="0" xfId="0">
      <alignment horizontal="center"/>
    </xf>
    <xf numFmtId="17" fontId="14" fillId="0" borderId="30" applyAlignment="1" pivotButton="0" quotePrefix="0" xfId="0">
      <alignment horizontal="center"/>
    </xf>
    <xf numFmtId="17" fontId="14" fillId="0" borderId="48" applyAlignment="1" pivotButton="0" quotePrefix="0" xfId="0">
      <alignment horizontal="center"/>
    </xf>
    <xf numFmtId="0" fontId="14" fillId="0" borderId="24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0" fontId="14" fillId="0" borderId="31" applyAlignment="1" pivotButton="0" quotePrefix="0" xfId="0">
      <alignment horizontal="center"/>
    </xf>
    <xf numFmtId="0" fontId="14" fillId="0" borderId="30" applyAlignment="1" pivotButton="0" quotePrefix="0" xfId="0">
      <alignment horizontal="center"/>
    </xf>
    <xf numFmtId="0" fontId="18" fillId="5" borderId="40" applyAlignment="1" pivotButton="0" quotePrefix="0" xfId="0">
      <alignment horizontal="center" vertical="center"/>
    </xf>
    <xf numFmtId="0" fontId="14" fillId="5" borderId="43" applyAlignment="1" pivotButton="0" quotePrefix="0" xfId="0">
      <alignment horizontal="center" vertical="center"/>
    </xf>
    <xf numFmtId="0" fontId="14" fillId="5" borderId="4" applyAlignment="1" pivotButton="0" quotePrefix="0" xfId="0">
      <alignment horizontal="center" vertical="center"/>
    </xf>
    <xf numFmtId="0" fontId="14" fillId="5" borderId="41" applyAlignment="1" pivotButton="0" quotePrefix="0" xfId="0">
      <alignment horizontal="center" vertical="center"/>
    </xf>
    <xf numFmtId="0" fontId="14" fillId="5" borderId="45" applyAlignment="1" pivotButton="0" quotePrefix="0" xfId="0">
      <alignment horizontal="center" vertical="center"/>
    </xf>
    <xf numFmtId="0" fontId="14" fillId="5" borderId="42" applyAlignment="1" pivotButton="0" quotePrefix="0" xfId="0">
      <alignment horizontal="center" vertical="center"/>
    </xf>
    <xf numFmtId="0" fontId="18" fillId="8" borderId="40" applyAlignment="1" pivotButton="0" quotePrefix="0" xfId="0">
      <alignment horizontal="center" vertical="center"/>
    </xf>
    <xf numFmtId="0" fontId="2" fillId="8" borderId="43" applyAlignment="1" pivotButton="0" quotePrefix="0" xfId="0">
      <alignment horizontal="center" vertical="center"/>
    </xf>
    <xf numFmtId="0" fontId="2" fillId="8" borderId="4" applyAlignment="1" pivotButton="0" quotePrefix="0" xfId="0">
      <alignment horizontal="center" vertical="center"/>
    </xf>
    <xf numFmtId="0" fontId="2" fillId="8" borderId="41" applyAlignment="1" pivotButton="0" quotePrefix="0" xfId="0">
      <alignment horizontal="center" vertical="center"/>
    </xf>
    <xf numFmtId="0" fontId="2" fillId="8" borderId="45" applyAlignment="1" pivotButton="0" quotePrefix="0" xfId="0">
      <alignment horizontal="center" vertical="center"/>
    </xf>
    <xf numFmtId="0" fontId="2" fillId="8" borderId="42" applyAlignment="1" pivotButton="0" quotePrefix="0" xfId="0">
      <alignment horizontal="center" vertical="center"/>
    </xf>
    <xf numFmtId="0" fontId="18" fillId="19" borderId="40" applyAlignment="1" pivotButton="0" quotePrefix="0" xfId="0">
      <alignment horizontal="center" vertical="center"/>
    </xf>
    <xf numFmtId="0" fontId="14" fillId="19" borderId="43" applyAlignment="1" pivotButton="0" quotePrefix="0" xfId="0">
      <alignment horizontal="center" vertical="center"/>
    </xf>
    <xf numFmtId="0" fontId="14" fillId="19" borderId="41" applyAlignment="1" pivotButton="0" quotePrefix="0" xfId="0">
      <alignment horizontal="center" vertical="center"/>
    </xf>
    <xf numFmtId="0" fontId="14" fillId="19" borderId="45" applyAlignment="1" pivotButton="0" quotePrefix="0" xfId="0">
      <alignment horizontal="center" vertical="center"/>
    </xf>
    <xf numFmtId="0" fontId="18" fillId="20" borderId="40" applyAlignment="1" pivotButton="0" quotePrefix="0" xfId="0">
      <alignment horizontal="center" vertical="center"/>
    </xf>
    <xf numFmtId="0" fontId="13" fillId="20" borderId="43" applyAlignment="1" pivotButton="0" quotePrefix="0" xfId="0">
      <alignment horizontal="center" vertical="center"/>
    </xf>
    <xf numFmtId="0" fontId="13" fillId="20" borderId="41" applyAlignment="1" pivotButton="0" quotePrefix="0" xfId="0">
      <alignment horizontal="center" vertical="center"/>
    </xf>
    <xf numFmtId="0" fontId="13" fillId="20" borderId="45" applyAlignment="1" pivotButton="0" quotePrefix="0" xfId="0">
      <alignment horizontal="center" vertical="center"/>
    </xf>
    <xf numFmtId="0" fontId="4" fillId="0" borderId="31" applyAlignment="1" pivotButton="0" quotePrefix="0" xfId="0">
      <alignment horizontal="center"/>
    </xf>
    <xf numFmtId="0" fontId="4" fillId="0" borderId="30" applyAlignment="1" pivotButton="0" quotePrefix="0" xfId="0">
      <alignment horizontal="center"/>
    </xf>
    <xf numFmtId="0" fontId="4" fillId="0" borderId="48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4" fillId="4" borderId="19" applyAlignment="1" pivotButton="0" quotePrefix="0" xfId="0">
      <alignment horizontal="center"/>
    </xf>
    <xf numFmtId="0" fontId="2" fillId="17" borderId="1" applyAlignment="1" pivotButton="0" quotePrefix="0" xfId="0">
      <alignment horizontal="center"/>
    </xf>
    <xf numFmtId="0" fontId="2" fillId="17" borderId="2" applyAlignment="1" pivotButton="0" quotePrefix="0" xfId="0">
      <alignment horizontal="center"/>
    </xf>
    <xf numFmtId="0" fontId="2" fillId="17" borderId="19" applyAlignment="1" pivotButton="0" quotePrefix="0" xfId="0">
      <alignment horizontal="center"/>
    </xf>
    <xf numFmtId="17" fontId="3" fillId="0" borderId="1" applyAlignment="1" pivotButton="0" quotePrefix="0" xfId="1">
      <alignment horizontal="center"/>
    </xf>
    <xf numFmtId="0" fontId="3" fillId="0" borderId="2" applyAlignment="1" pivotButton="0" quotePrefix="0" xfId="1">
      <alignment horizontal="center"/>
    </xf>
    <xf numFmtId="0" fontId="3" fillId="0" borderId="19" applyAlignment="1" pivotButton="0" quotePrefix="0" xfId="1">
      <alignment horizontal="center"/>
    </xf>
    <xf numFmtId="164" fontId="4" fillId="3" borderId="1" applyAlignment="1" pivotButton="0" quotePrefix="0" xfId="1">
      <alignment horizontal="center"/>
    </xf>
    <xf numFmtId="164" fontId="4" fillId="3" borderId="2" applyAlignment="1" pivotButton="0" quotePrefix="0" xfId="1">
      <alignment horizontal="center"/>
    </xf>
    <xf numFmtId="164" fontId="4" fillId="3" borderId="4" applyAlignment="1" pivotButton="0" quotePrefix="0" xfId="1">
      <alignment horizontal="center"/>
    </xf>
    <xf numFmtId="0" fontId="4" fillId="4" borderId="2" applyAlignment="1" pivotButton="0" quotePrefix="0" xfId="0">
      <alignment horizontal="center"/>
    </xf>
    <xf numFmtId="0" fontId="2" fillId="17" borderId="40" applyAlignment="1" pivotButton="0" quotePrefix="0" xfId="0">
      <alignment horizontal="center"/>
    </xf>
    <xf numFmtId="0" fontId="2" fillId="17" borderId="43" applyAlignment="1" pivotButton="0" quotePrefix="0" xfId="0">
      <alignment horizontal="center"/>
    </xf>
    <xf numFmtId="0" fontId="2" fillId="17" borderId="4" applyAlignment="1" pivotButton="0" quotePrefix="0" xfId="0">
      <alignment horizontal="center"/>
    </xf>
    <xf numFmtId="0" fontId="0" fillId="11" borderId="1" applyAlignment="1" pivotButton="0" quotePrefix="0" xfId="0">
      <alignment horizontal="center"/>
    </xf>
    <xf numFmtId="0" fontId="0" fillId="11" borderId="2" applyAlignment="1" pivotButton="0" quotePrefix="0" xfId="0">
      <alignment horizontal="center"/>
    </xf>
    <xf numFmtId="0" fontId="0" fillId="11" borderId="19" applyAlignment="1" pivotButton="0" quotePrefix="0" xfId="0">
      <alignment horizontal="center"/>
    </xf>
    <xf numFmtId="0" fontId="0" fillId="0" borderId="21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0" fillId="0" borderId="24" applyAlignment="1" pivotButton="0" quotePrefix="0" xfId="0">
      <alignment horizontal="center"/>
    </xf>
    <xf numFmtId="0" fontId="0" fillId="0" borderId="22" applyAlignment="1" pivotButton="0" quotePrefix="0" xfId="0">
      <alignment horizontal="center"/>
    </xf>
    <xf numFmtId="164" fontId="0" fillId="0" borderId="40" applyAlignment="1" pivotButton="0" quotePrefix="0" xfId="1">
      <alignment horizontal="center"/>
    </xf>
    <xf numFmtId="164" fontId="0" fillId="0" borderId="43" applyAlignment="1" pivotButton="0" quotePrefix="0" xfId="1">
      <alignment horizontal="center"/>
    </xf>
    <xf numFmtId="164" fontId="0" fillId="0" borderId="4" applyAlignment="1" pivotButton="0" quotePrefix="0" xfId="1">
      <alignment horizontal="center"/>
    </xf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19" applyAlignment="1" pivotButton="0" quotePrefix="0" xfId="0">
      <alignment horizontal="center"/>
    </xf>
    <xf numFmtId="0" fontId="0" fillId="0" borderId="40" applyAlignment="1" pivotButton="0" quotePrefix="0" xfId="0">
      <alignment horizontal="center"/>
    </xf>
    <xf numFmtId="0" fontId="0" fillId="0" borderId="4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3" fontId="18" fillId="6" borderId="72" applyAlignment="1" pivotButton="0" quotePrefix="1" xfId="0">
      <alignment horizontal="center" wrapText="1"/>
    </xf>
    <xf numFmtId="3" fontId="18" fillId="6" borderId="73" applyAlignment="1" pivotButton="0" quotePrefix="1" xfId="0">
      <alignment horizontal="center" wrapText="1"/>
    </xf>
    <xf numFmtId="3" fontId="18" fillId="6" borderId="74" applyAlignment="1" pivotButton="0" quotePrefix="1" xfId="0">
      <alignment horizontal="center" wrapText="1"/>
    </xf>
    <xf numFmtId="0" fontId="9" fillId="0" borderId="40" applyAlignment="1" pivotButton="0" quotePrefix="0" xfId="0">
      <alignment horizontal="center" vertical="center"/>
    </xf>
    <xf numFmtId="0" fontId="9" fillId="0" borderId="43" applyAlignment="1" pivotButton="0" quotePrefix="0" xfId="0">
      <alignment horizontal="center" vertical="center"/>
    </xf>
    <xf numFmtId="0" fontId="9" fillId="0" borderId="4" applyAlignment="1" pivotButton="0" quotePrefix="0" xfId="0">
      <alignment horizontal="center" vertical="center"/>
    </xf>
    <xf numFmtId="0" fontId="9" fillId="0" borderId="41" applyAlignment="1" pivotButton="0" quotePrefix="0" xfId="0">
      <alignment horizontal="center" vertical="center"/>
    </xf>
    <xf numFmtId="0" fontId="9" fillId="0" borderId="45" applyAlignment="1" pivotButton="0" quotePrefix="0" xfId="0">
      <alignment horizontal="center" vertical="center"/>
    </xf>
    <xf numFmtId="0" fontId="9" fillId="0" borderId="42" applyAlignment="1" pivotButton="0" quotePrefix="0" xfId="0">
      <alignment horizontal="center" vertical="center"/>
    </xf>
    <xf numFmtId="0" fontId="2" fillId="0" borderId="40" applyAlignment="1" pivotButton="0" quotePrefix="0" xfId="0">
      <alignment horizontal="center" vertical="center"/>
    </xf>
    <xf numFmtId="0" fontId="2" fillId="0" borderId="41" applyAlignment="1" pivotButton="0" quotePrefix="0" xfId="0">
      <alignment horizontal="center" vertical="center"/>
    </xf>
    <xf numFmtId="0" fontId="3" fillId="9" borderId="41" applyAlignment="1" pivotButton="0" quotePrefix="0" xfId="1">
      <alignment horizontal="center"/>
    </xf>
    <xf numFmtId="0" fontId="3" fillId="9" borderId="45" applyAlignment="1" pivotButton="0" quotePrefix="0" xfId="1">
      <alignment horizontal="center"/>
    </xf>
    <xf numFmtId="164" fontId="2" fillId="71" borderId="3" applyAlignment="1" pivotButton="0" quotePrefix="0" xfId="1">
      <alignment horizontal="center" vertical="center"/>
    </xf>
    <xf numFmtId="164" fontId="2" fillId="71" borderId="69" applyAlignment="1" pivotButton="0" quotePrefix="0" xfId="1">
      <alignment horizontal="center" vertical="center"/>
    </xf>
    <xf numFmtId="0" fontId="2" fillId="20" borderId="1" applyAlignment="1" pivotButton="0" quotePrefix="0" xfId="0">
      <alignment horizontal="center"/>
    </xf>
    <xf numFmtId="0" fontId="2" fillId="20" borderId="2" applyAlignment="1" pivotButton="0" quotePrefix="0" xfId="0">
      <alignment horizontal="center"/>
    </xf>
    <xf numFmtId="0" fontId="2" fillId="20" borderId="19" applyAlignment="1" pivotButton="0" quotePrefix="0" xfId="0">
      <alignment horizontal="center"/>
    </xf>
    <xf numFmtId="0" fontId="2" fillId="32" borderId="1" applyAlignment="1" pivotButton="0" quotePrefix="0" xfId="0">
      <alignment horizontal="center"/>
    </xf>
    <xf numFmtId="0" fontId="2" fillId="32" borderId="2" applyAlignment="1" pivotButton="0" quotePrefix="0" xfId="0">
      <alignment horizontal="center"/>
    </xf>
    <xf numFmtId="0" fontId="2" fillId="32" borderId="19" applyAlignment="1" pivotButton="0" quotePrefix="0" xfId="0">
      <alignment horizontal="center"/>
    </xf>
    <xf numFmtId="0" fontId="2" fillId="7" borderId="1" applyAlignment="1" pivotButton="0" quotePrefix="0" xfId="0">
      <alignment horizontal="center"/>
    </xf>
    <xf numFmtId="0" fontId="2" fillId="7" borderId="2" applyAlignment="1" pivotButton="0" quotePrefix="0" xfId="0">
      <alignment horizontal="center"/>
    </xf>
    <xf numFmtId="0" fontId="2" fillId="7" borderId="19" applyAlignment="1" pivotButton="0" quotePrefix="0" xfId="0">
      <alignment horizontal="center"/>
    </xf>
    <xf numFmtId="0" fontId="2" fillId="30" borderId="1" applyAlignment="1" pivotButton="0" quotePrefix="0" xfId="0">
      <alignment horizontal="center"/>
    </xf>
    <xf numFmtId="0" fontId="2" fillId="30" borderId="2" applyAlignment="1" pivotButton="0" quotePrefix="0" xfId="0">
      <alignment horizontal="center"/>
    </xf>
    <xf numFmtId="0" fontId="2" fillId="30" borderId="19" applyAlignment="1" pivotButton="0" quotePrefix="0" xfId="0">
      <alignment horizontal="center"/>
    </xf>
    <xf numFmtId="0" fontId="4" fillId="4" borderId="40" applyAlignment="1" pivotButton="0" quotePrefix="0" xfId="0">
      <alignment horizontal="center"/>
    </xf>
    <xf numFmtId="0" fontId="4" fillId="4" borderId="43" applyAlignment="1" pivotButton="0" quotePrefix="0" xfId="0">
      <alignment horizontal="center"/>
    </xf>
    <xf numFmtId="0" fontId="4" fillId="4" borderId="4" applyAlignment="1" pivotButton="0" quotePrefix="0" xfId="0">
      <alignment horizontal="center"/>
    </xf>
    <xf numFmtId="0" fontId="2" fillId="26" borderId="43" applyAlignment="1" pivotButton="0" quotePrefix="0" xfId="0">
      <alignment horizontal="center"/>
    </xf>
    <xf numFmtId="0" fontId="2" fillId="26" borderId="4" applyAlignment="1" pivotButton="0" quotePrefix="0" xfId="0">
      <alignment horizontal="center"/>
    </xf>
    <xf numFmtId="0" fontId="2" fillId="69" borderId="1" applyAlignment="1" pivotButton="0" quotePrefix="0" xfId="0">
      <alignment horizontal="center"/>
    </xf>
    <xf numFmtId="0" fontId="2" fillId="69" borderId="2" applyAlignment="1" pivotButton="0" quotePrefix="0" xfId="0">
      <alignment horizontal="center"/>
    </xf>
    <xf numFmtId="0" fontId="2" fillId="69" borderId="19" applyAlignment="1" pivotButton="0" quotePrefix="0" xfId="0">
      <alignment horizontal="center"/>
    </xf>
    <xf numFmtId="0" fontId="3" fillId="69" borderId="45" applyAlignment="1" pivotButton="0" quotePrefix="0" xfId="0">
      <alignment horizontal="center"/>
    </xf>
    <xf numFmtId="0" fontId="2" fillId="17" borderId="6" applyAlignment="1" pivotButton="0" quotePrefix="0" xfId="0">
      <alignment horizontal="center" vertical="center"/>
    </xf>
    <xf numFmtId="0" fontId="4" fillId="4" borderId="40" applyAlignment="1" pivotButton="0" quotePrefix="0" xfId="0">
      <alignment horizontal="center" vertical="center"/>
    </xf>
    <xf numFmtId="0" fontId="4" fillId="4" borderId="43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7" borderId="2" applyAlignment="1" pivotButton="0" quotePrefix="0" xfId="0">
      <alignment horizontal="center" vertical="center"/>
    </xf>
    <xf numFmtId="0" fontId="2" fillId="17" borderId="19" applyAlignment="1" pivotButton="0" quotePrefix="0" xfId="0">
      <alignment horizontal="center" vertical="center"/>
    </xf>
    <xf numFmtId="0" fontId="4" fillId="0" borderId="29" applyAlignment="1" pivotButton="0" quotePrefix="0" xfId="0">
      <alignment horizontal="center"/>
    </xf>
    <xf numFmtId="0" fontId="0" fillId="0" borderId="30" pivotButton="0" quotePrefix="0" xfId="0"/>
    <xf numFmtId="0" fontId="0" fillId="0" borderId="48" pivotButton="0" quotePrefix="0" xfId="0"/>
    <xf numFmtId="17" fontId="14" fillId="0" borderId="29" applyAlignment="1" pivotButton="0" quotePrefix="0" xfId="0">
      <alignment horizontal="center"/>
    </xf>
    <xf numFmtId="0" fontId="14" fillId="0" borderId="25" applyAlignment="1" pivotButton="0" quotePrefix="0" xfId="0">
      <alignment horizontal="center" vertical="center"/>
    </xf>
    <xf numFmtId="0" fontId="0" fillId="0" borderId="43" pivotButton="0" quotePrefix="0" xfId="0"/>
    <xf numFmtId="0" fontId="0" fillId="0" borderId="4" pivotButton="0" quotePrefix="0" xfId="0"/>
    <xf numFmtId="0" fontId="0" fillId="0" borderId="24" pivotButton="0" quotePrefix="0" xfId="0"/>
    <xf numFmtId="0" fontId="0" fillId="0" borderId="21" pivotButton="0" quotePrefix="0" xfId="0"/>
    <xf numFmtId="0" fontId="0" fillId="0" borderId="31" pivotButton="0" quotePrefix="0" xfId="0"/>
    <xf numFmtId="0" fontId="0" fillId="0" borderId="57" pivotButton="0" quotePrefix="0" xfId="0"/>
    <xf numFmtId="0" fontId="0" fillId="0" borderId="37" pivotButton="0" quotePrefix="0" xfId="0"/>
    <xf numFmtId="0" fontId="18" fillId="5" borderId="25" applyAlignment="1" pivotButton="0" quotePrefix="0" xfId="0">
      <alignment horizontal="center" vertical="center"/>
    </xf>
    <xf numFmtId="0" fontId="18" fillId="8" borderId="25" applyAlignment="1" pivotButton="0" quotePrefix="0" xfId="0">
      <alignment horizontal="center" vertical="center"/>
    </xf>
    <xf numFmtId="0" fontId="18" fillId="19" borderId="25" applyAlignment="1" pivotButton="0" quotePrefix="0" xfId="0">
      <alignment horizontal="center" vertical="center"/>
    </xf>
    <xf numFmtId="0" fontId="18" fillId="20" borderId="25" applyAlignment="1" pivotButton="0" quotePrefix="0" xfId="0">
      <alignment horizontal="center" vertical="center"/>
    </xf>
    <xf numFmtId="0" fontId="18" fillId="21" borderId="25" applyAlignment="1" pivotButton="0" quotePrefix="0" xfId="0">
      <alignment horizontal="center" vertical="center"/>
    </xf>
    <xf numFmtId="0" fontId="18" fillId="22" borderId="25" applyAlignment="1" pivotButton="0" quotePrefix="0" xfId="0">
      <alignment horizontal="center" vertical="center"/>
    </xf>
    <xf numFmtId="0" fontId="18" fillId="23" borderId="25" applyAlignment="1" pivotButton="0" quotePrefix="0" xfId="0">
      <alignment horizontal="center" vertical="center"/>
    </xf>
    <xf numFmtId="0" fontId="18" fillId="24" borderId="25" applyAlignment="1" pivotButton="0" quotePrefix="0" xfId="0">
      <alignment horizontal="center" vertical="center"/>
    </xf>
    <xf numFmtId="0" fontId="18" fillId="15" borderId="25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/>
    </xf>
    <xf numFmtId="165" fontId="0" fillId="0" borderId="0" pivotButton="0" quotePrefix="0" xfId="2"/>
    <xf numFmtId="165" fontId="0" fillId="0" borderId="44" pivotButton="0" quotePrefix="0" xfId="2"/>
    <xf numFmtId="164" fontId="0" fillId="0" borderId="0" pivotButton="0" quotePrefix="0" xfId="1"/>
    <xf numFmtId="164" fontId="0" fillId="0" borderId="44" pivotButton="0" quotePrefix="0" xfId="1"/>
    <xf numFmtId="164" fontId="0" fillId="0" borderId="0" pivotButton="0" quotePrefix="0" xfId="0"/>
    <xf numFmtId="164" fontId="0" fillId="0" borderId="44" pivotButton="0" quotePrefix="0" xfId="0"/>
    <xf numFmtId="164" fontId="5" fillId="0" borderId="0" pivotButton="0" quotePrefix="0" xfId="1"/>
    <xf numFmtId="164" fontId="5" fillId="0" borderId="44" pivotButton="0" quotePrefix="0" xfId="1"/>
    <xf numFmtId="164" fontId="2" fillId="17" borderId="6" pivotButton="0" quotePrefix="0" xfId="1"/>
    <xf numFmtId="164" fontId="0" fillId="17" borderId="6" pivotButton="0" quotePrefix="0" xfId="1"/>
    <xf numFmtId="164" fontId="2" fillId="9" borderId="6" pivotButton="0" quotePrefix="0" xfId="1"/>
    <xf numFmtId="164" fontId="46" fillId="9" borderId="6" pivotButton="0" quotePrefix="0" xfId="1"/>
    <xf numFmtId="164" fontId="2" fillId="17" borderId="8" pivotButton="0" quotePrefix="0" xfId="1"/>
    <xf numFmtId="164" fontId="2" fillId="0" borderId="46" pivotButton="0" quotePrefix="0" xfId="0"/>
    <xf numFmtId="164" fontId="2" fillId="0" borderId="6" pivotButton="0" quotePrefix="0" xfId="0"/>
    <xf numFmtId="164" fontId="0" fillId="0" borderId="6" pivotButton="0" quotePrefix="0" xfId="0"/>
    <xf numFmtId="164" fontId="0" fillId="0" borderId="36" pivotButton="0" quotePrefix="0" xfId="0"/>
    <xf numFmtId="164" fontId="2" fillId="0" borderId="36" pivotButton="0" quotePrefix="0" xfId="0"/>
    <xf numFmtId="164" fontId="2" fillId="0" borderId="35" pivotButton="0" quotePrefix="0" xfId="0"/>
  </cellXfs>
  <cellStyles count="48">
    <cellStyle name="Normal" xfId="0" builtinId="0"/>
    <cellStyle name="Milliers" xfId="1" builtinId="3"/>
    <cellStyle name="Pourcentage" xfId="2" builtinId="5"/>
    <cellStyle name="Normal 3" xfId="3"/>
    <cellStyle name="Titre" xfId="4" builtinId="15"/>
    <cellStyle name="Titre 1" xfId="5" builtinId="16"/>
    <cellStyle name="Titre 2" xfId="6" builtinId="17"/>
    <cellStyle name="Titre 3" xfId="7" builtinId="18"/>
    <cellStyle name="Titre 4" xfId="8" builtinId="19"/>
    <cellStyle name="Satisfaisant" xfId="9" builtinId="26"/>
    <cellStyle name="Insatisfaisant" xfId="10" builtinId="27"/>
    <cellStyle name="Neutre" xfId="11" builtinId="28"/>
    <cellStyle name="Entrée" xfId="12" builtinId="20"/>
    <cellStyle name="Sortie" xfId="13" builtinId="21"/>
    <cellStyle name="Calcul" xfId="14" builtinId="22"/>
    <cellStyle name="Cellule liée" xfId="15" builtinId="24"/>
    <cellStyle name="Vérification" xfId="16" builtinId="23"/>
    <cellStyle name="Avertissement" xfId="17" builtinId="11"/>
    <cellStyle name="Note" xfId="18" builtinId="10"/>
    <cellStyle name="Texte explicatif" xfId="19" builtinId="53"/>
    <cellStyle name="Total" xfId="20" builtinId="25"/>
    <cellStyle name="Accent1" xfId="21" builtinId="29"/>
    <cellStyle name="20 % - Accent1" xfId="22" builtinId="30"/>
    <cellStyle name="40 % - Accent1" xfId="23" builtinId="31"/>
    <cellStyle name="60 % - Accent1" xfId="24" builtinId="32"/>
    <cellStyle name="Accent2" xfId="25" builtinId="33"/>
    <cellStyle name="20 % - Accent2" xfId="26" builtinId="34"/>
    <cellStyle name="40 % - Accent2" xfId="27" builtinId="35"/>
    <cellStyle name="60 % - Accent2" xfId="28" builtinId="36"/>
    <cellStyle name="Accent3" xfId="29" builtinId="37"/>
    <cellStyle name="20 % - Accent3" xfId="30" builtinId="38"/>
    <cellStyle name="40 % - Accent3" xfId="31" builtinId="39"/>
    <cellStyle name="60 % - Accent3" xfId="32" builtinId="40"/>
    <cellStyle name="Accent4" xfId="33" builtinId="41"/>
    <cellStyle name="20 % - Accent4" xfId="34" builtinId="42"/>
    <cellStyle name="40 % - Accent4" xfId="35" builtinId="43"/>
    <cellStyle name="60 % - Accent4" xfId="36" builtinId="44"/>
    <cellStyle name="Accent5" xfId="37" builtinId="45"/>
    <cellStyle name="20 % - Accent5" xfId="38" builtinId="46"/>
    <cellStyle name="40 % - Accent5" xfId="39" builtinId="47"/>
    <cellStyle name="60 % - Accent5" xfId="40" builtinId="48"/>
    <cellStyle name="Accent6" xfId="41" builtinId="49"/>
    <cellStyle name="20 % - Accent6" xfId="42" builtinId="50"/>
    <cellStyle name="40 % - Accent6" xfId="43" builtinId="51"/>
    <cellStyle name="60 % - Accent6" xfId="44" builtinId="52"/>
    <cellStyle name="Normal 10" xfId="45"/>
    <cellStyle name="Normal 4 18" xfId="46"/>
    <cellStyle name="Milliers [0]" xfId="47" builtinId="6"/>
  </cellStyles>
  <dxfs count="51"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fill>
        <patternFill patternType="solid">
          <fgColor indexed="64"/>
          <bgColor theme="3" tint="0.3999755851924192"/>
        </patternFill>
      </fill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fill>
        <patternFill patternType="solid">
          <fgColor indexed="64"/>
          <bgColor theme="3" tint="0.3999755851924192"/>
        </patternFill>
      </fill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fill>
        <patternFill patternType="solid">
          <fgColor indexed="64"/>
          <bgColor theme="3" tint="0.3999755851924192"/>
        </patternFill>
      </fill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externalLink" Target="/xl/externalLinks/externalLink1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strRef>
              <f>Représentations!$A$4</f>
              <strCache>
                <ptCount val="1"/>
                <pt idx="0">
                  <v>Import Maritime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Représentations!$B$3:$M$3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Représentations!$B$4:$M$4</f>
              <numCache>
                <formatCode>0.0%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1"/>
          <order val="1"/>
          <tx>
            <strRef>
              <f>Représentations!$A$5</f>
              <strCache>
                <ptCount val="1"/>
                <pt idx="0">
                  <v>Hinterland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Représentations!$B$3:$M$3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Représentations!$B$5:$M$5</f>
              <numCache>
                <formatCode>0.0%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2"/>
          <order val="2"/>
          <tx>
            <strRef>
              <f>Représentations!$A$6</f>
              <strCache>
                <ptCount val="1"/>
                <pt idx="0">
                  <v>Aérien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Représentations!$B$3:$M$3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Représentations!$B$6:$M$6</f>
              <numCache>
                <formatCode>0.0%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3"/>
          <order val="3"/>
          <tx>
            <strRef>
              <f>Représentations!$A$7</f>
              <strCache>
                <ptCount val="1"/>
                <pt idx="0">
                  <v>Export Maritime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Représentations!$B$3:$M$3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Représentations!$B$7:$M$7</f>
              <numCache>
                <formatCode>0.0%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4"/>
          <order val="4"/>
          <tx>
            <strRef>
              <f>Représentations!$A$8</f>
              <strCache>
                <ptCount val="1"/>
                <pt idx="0">
                  <v>SIRT (dédié)</v>
                </pt>
              </strCache>
            </strRef>
          </tx>
          <spPr>
            <a:ln>
              <a:solidFill>
                <a:srgbClr val="FFFF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Représentations!$B$3:$M$3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Représentations!$B$8:$M$8</f>
              <numCache>
                <formatCode>0.0%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46524800"/>
        <axId val="146542976"/>
      </lineChart>
      <catAx>
        <axId val="146524800"/>
        <scaling>
          <orientation val="minMax"/>
        </scaling>
        <delete val="0"/>
        <axPos val="b"/>
        <numFmt formatCode="General" sourceLinked="0"/>
        <majorTickMark val="out"/>
        <minorTickMark val="none"/>
        <tickLblPos val="nextTo"/>
        <crossAx val="146542976"/>
        <crosses val="autoZero"/>
        <auto val="1"/>
        <lblAlgn val="ctr"/>
        <lblOffset val="100"/>
        <noMultiLvlLbl val="0"/>
      </catAx>
      <valAx>
        <axId val="146542976"/>
        <scaling>
          <orientation val="minMax"/>
        </scaling>
        <delete val="0"/>
        <axPos val="l"/>
        <majorGridlines/>
        <numFmt formatCode="0.0%" sourceLinked="1"/>
        <majorTickMark val="out"/>
        <minorTickMark val="none"/>
        <tickLblPos val="nextTo"/>
        <crossAx val="146524800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1415425306043216"/>
          <y val="0.02830154573576095"/>
          <w val="0.6204188960201238"/>
          <h val="0.7018116538740895"/>
        </manualLayout>
      </layout>
      <lineChart>
        <grouping val="standard"/>
        <varyColors val="0"/>
        <ser>
          <idx val="0"/>
          <order val="0"/>
          <tx>
            <strRef>
              <f>Représentations!$A$29</f>
              <strCache>
                <ptCount val="1"/>
                <pt idx="0">
                  <v>Import Maritime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Représentations!$B$28:$M$28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Représentations!$B$29:$M$29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1"/>
          <order val="1"/>
          <tx>
            <strRef>
              <f>Représentations!$A$30</f>
              <strCache>
                <ptCount val="1"/>
                <pt idx="0">
                  <v>Hinterland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Représentations!$B$28:$M$28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Représentations!$B$30:$M$30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2"/>
          <order val="2"/>
          <tx>
            <strRef>
              <f>Représentations!$A$31</f>
              <strCache>
                <ptCount val="1"/>
                <pt idx="0">
                  <v>Aérien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Représentations!$B$28:$M$28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Représentations!$B$31:$M$31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3"/>
          <order val="3"/>
          <tx>
            <strRef>
              <f>Représentations!$A$32</f>
              <strCache>
                <ptCount val="1"/>
                <pt idx="0">
                  <v>Export Maritime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Représentations!$B$28:$M$28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Représentations!$B$32:$M$32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4"/>
          <order val="4"/>
          <tx>
            <strRef>
              <f>Représentations!$A$33</f>
              <strCache>
                <ptCount val="1"/>
                <pt idx="0">
                  <v>SIRT (dédié)</v>
                </pt>
              </strCache>
            </strRef>
          </tx>
          <spPr>
            <a:ln>
              <a:solidFill>
                <a:srgbClr val="FFFF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Représentations!$B$28:$M$28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Représentations!$B$33:$M$33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46578432"/>
        <axId val="146580224"/>
      </lineChart>
      <catAx>
        <axId val="146578432"/>
        <scaling>
          <orientation val="minMax"/>
        </scaling>
        <delete val="0"/>
        <axPos val="b"/>
        <numFmt formatCode="General" sourceLinked="0"/>
        <majorTickMark val="out"/>
        <minorTickMark val="none"/>
        <tickLblPos val="nextTo"/>
        <crossAx val="146580224"/>
        <crosses val="autoZero"/>
        <auto val="1"/>
        <lblAlgn val="ctr"/>
        <lblOffset val="100"/>
        <noMultiLvlLbl val="0"/>
      </catAx>
      <valAx>
        <axId val="146580224"/>
        <scaling>
          <orientation val="minMax"/>
        </scaling>
        <delete val="0"/>
        <axPos val="l"/>
        <majorGridlines/>
        <numFmt formatCode="_-* #\ ##0\ _€_-;\-* #\ ##0\ _€_-;_-* &quot;-&quot;??\ _€_-;_-@_-" sourceLinked="1"/>
        <majorTickMark val="out"/>
        <minorTickMark val="none"/>
        <tickLblPos val="nextTo"/>
        <crossAx val="146578432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1415425306043216"/>
          <y val="0.02830154573576095"/>
          <w val="0.6204188960201238"/>
          <h val="0.7018116538740895"/>
        </manualLayout>
      </layout>
      <lineChart>
        <grouping val="standard"/>
        <varyColors val="0"/>
        <ser>
          <idx val="0"/>
          <order val="0"/>
          <tx>
            <strRef>
              <f>Représentations!$A$56</f>
              <strCache>
                <ptCount val="1"/>
                <pt idx="0">
                  <v>Import Maritime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Représentations!$B$55:$M$55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Représentations!$B$56:$M$56</f>
              <numCache>
                <formatCode>_-* #\ ##0\ _€_-;\-* #\ ##0\ _€_-;_-* "-"??\ _€_-;_-@_-</formatCode>
                <ptCount val="12"/>
                <pt idx="0">
                  <v>2801201</v>
                </pt>
                <pt idx="1">
                  <v>10340870</v>
                </pt>
                <pt idx="2">
                  <v>193500</v>
                </pt>
                <pt idx="3">
                  <v>1984710</v>
                </pt>
                <pt idx="4">
                  <v>-1108440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1"/>
          <order val="1"/>
          <tx>
            <strRef>
              <f>Représentations!$A$57</f>
              <strCache>
                <ptCount val="1"/>
                <pt idx="0">
                  <v>Hinterland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Représentations!$B$55:$M$55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Représentations!$B$57:$M$57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1325000</v>
                </pt>
                <pt idx="2">
                  <v>0</v>
                </pt>
                <pt idx="3">
                  <v>1095960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2"/>
          <order val="2"/>
          <tx>
            <strRef>
              <f>Représentations!$A$58</f>
              <strCache>
                <ptCount val="1"/>
                <pt idx="0">
                  <v>Aérien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Représentations!$B$55:$M$55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Représentations!$B$58:$M$58</f>
              <numCache>
                <formatCode>_-* #\ ##0\ _€_-;\-* #\ ##0\ _€_-;_-* "-"??\ _€_-;_-@_-</formatCode>
                <ptCount val="12"/>
                <pt idx="0">
                  <v>41566985</v>
                </pt>
                <pt idx="1">
                  <v>28985860</v>
                </pt>
                <pt idx="2">
                  <v>7136253</v>
                </pt>
                <pt idx="3">
                  <v>5354446</v>
                </pt>
                <pt idx="4">
                  <v>6494613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3"/>
          <order val="3"/>
          <tx>
            <strRef>
              <f>Représentations!$A$59</f>
              <strCache>
                <ptCount val="1"/>
                <pt idx="0">
                  <v>Export Maritime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Représentations!$B$55:$M$55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Représentations!$B$59:$M$59</f>
              <numCache>
                <formatCode>_-* #\ ##0\ _€_-;\-* #\ ##0\ _€_-;_-* "-"??\ _€_-;_-@_-</formatCode>
                <ptCount val="12"/>
                <pt idx="0">
                  <v>806526</v>
                </pt>
                <pt idx="1">
                  <v>0</v>
                </pt>
                <pt idx="2">
                  <v>4500000</v>
                </pt>
                <pt idx="3">
                  <v>4292900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4"/>
          <order val="4"/>
          <tx>
            <strRef>
              <f>Représentations!$A$60</f>
              <strCache>
                <ptCount val="1"/>
                <pt idx="0">
                  <v>CA BASE</v>
                </pt>
              </strCache>
            </strRef>
          </tx>
          <spPr>
            <a:ln>
              <a:solidFill>
                <a:srgbClr val="FFFF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Représentations!$B$55:$M$55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Représentations!$B$60:$M$60</f>
              <numCache>
                <formatCode>_-* #\ ##0\ _€_-;\-* #\ ##0\ _€_-;_-* "-"??\ _€_-;_-@_-</formatCode>
                <ptCount val="12"/>
                <pt idx="0">
                  <v>333829612</v>
                </pt>
                <pt idx="1">
                  <v>205124188</v>
                </pt>
                <pt idx="2">
                  <v>292894213</v>
                </pt>
                <pt idx="3">
                  <v>319413776</v>
                </pt>
                <pt idx="4">
                  <v>225715537</v>
                </pt>
                <pt idx="5">
                  <v>207075389</v>
                </pt>
                <pt idx="6">
                  <v>295412277</v>
                </pt>
                <pt idx="7">
                  <v>224962510</v>
                </pt>
                <pt idx="8">
                  <v>281259944</v>
                </pt>
                <pt idx="9">
                  <v>292800598</v>
                </pt>
                <pt idx="10">
                  <v>527147802</v>
                </pt>
                <pt idx="11">
                  <v>398175063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46955648"/>
        <axId val="146957440"/>
      </lineChart>
      <catAx>
        <axId val="146955648"/>
        <scaling>
          <orientation val="minMax"/>
        </scaling>
        <delete val="0"/>
        <axPos val="b"/>
        <numFmt formatCode="General" sourceLinked="0"/>
        <majorTickMark val="out"/>
        <minorTickMark val="none"/>
        <tickLblPos val="nextTo"/>
        <crossAx val="146957440"/>
        <crosses val="autoZero"/>
        <auto val="1"/>
        <lblAlgn val="ctr"/>
        <lblOffset val="100"/>
        <noMultiLvlLbl val="0"/>
      </catAx>
      <valAx>
        <axId val="146957440"/>
        <scaling>
          <orientation val="minMax"/>
        </scaling>
        <delete val="0"/>
        <axPos val="l"/>
        <majorGridlines/>
        <numFmt formatCode="_-* #\ ##0\ _€_-;\-* #\ ##0\ _€_-;_-* &quot;-&quot;??\ _€_-;_-@_-" sourceLinked="1"/>
        <majorTickMark val="out"/>
        <minorTickMark val="none"/>
        <tickLblPos val="nextTo"/>
        <crossAx val="146955648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1415425306043216"/>
          <y val="0.02830154573576095"/>
          <w val="0.6204188960201238"/>
          <h val="0.7018116538740895"/>
        </manualLayout>
      </layout>
      <lineChart>
        <grouping val="standard"/>
        <varyColors val="0"/>
        <ser>
          <idx val="0"/>
          <order val="0"/>
          <tx>
            <strRef>
              <f>Représentations!$A$83</f>
              <strCache>
                <ptCount val="1"/>
                <pt idx="0">
                  <v>Loyers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Représentations!$B$82:$M$82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Représentations!$B$83:$M$83</f>
              <numCache>
                <formatCode>_-* #\ ##0\ _€_-;\-* #\ ##0\ _€_-;_-* "-"??\ _€_-;_-@_-</formatCode>
                <ptCount val="12"/>
                <pt idx="0">
                  <v>279606250</v>
                </pt>
                <pt idx="1">
                  <v>124826000</v>
                </pt>
                <pt idx="2">
                  <v>178804650</v>
                </pt>
                <pt idx="3">
                  <v>186264609</v>
                </pt>
                <pt idx="4">
                  <v>125666250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1"/>
          <order val="1"/>
          <tx>
            <strRef>
              <f>Représentations!$A$84</f>
              <strCache>
                <ptCount val="1"/>
                <pt idx="0">
                  <v>Log &amp; Divers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Représentations!$B$82:$M$82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Représentations!$B$84:$M$84</f>
              <numCache>
                <formatCode>_-* #\ ##0\ _€_-;\-* #\ ##0\ _€_-;_-* "-"??\ _€_-;_-@_-</formatCode>
                <ptCount val="12"/>
                <pt idx="0">
                  <v>558006079</v>
                </pt>
                <pt idx="1">
                  <v>650086638</v>
                </pt>
                <pt idx="2">
                  <v>694090487</v>
                </pt>
                <pt idx="3">
                  <v>790502319</v>
                </pt>
                <pt idx="4">
                  <v>937279503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2"/>
          <order val="2"/>
          <tx>
            <strRef>
              <f>Représentations!$A$85</f>
              <strCache>
                <ptCount val="1"/>
                <pt idx="0">
                  <v>Rétrocession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Représentations!$B$82:$M$82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Représentations!$B$85:$M$85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3"/>
          <order val="3"/>
          <tx>
            <strRef>
              <f>Représentations!$A$86</f>
              <strCache>
                <ptCount val="1"/>
                <pt idx="0">
                  <v>CA BASE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Représentations!$B$82:$M$82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Représentations!$B$86:$M$86</f>
              <numCache>
                <formatCode>_-* #\ ##0\ _€_-;\-* #\ ##0\ _€_-;_-* "-"??\ _€_-;_-@_-</formatCode>
                <ptCount val="12"/>
                <pt idx="0">
                  <v>837612329</v>
                </pt>
                <pt idx="1">
                  <v>774912638</v>
                </pt>
                <pt idx="2">
                  <v>872895137</v>
                </pt>
                <pt idx="3">
                  <v>976766928</v>
                </pt>
                <pt idx="4">
                  <v>1062945753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46992128"/>
        <axId val="146998016"/>
      </lineChart>
      <catAx>
        <axId val="146992128"/>
        <scaling>
          <orientation val="minMax"/>
        </scaling>
        <delete val="0"/>
        <axPos val="b"/>
        <numFmt formatCode="General" sourceLinked="0"/>
        <majorTickMark val="out"/>
        <minorTickMark val="none"/>
        <tickLblPos val="nextTo"/>
        <crossAx val="146998016"/>
        <crosses val="autoZero"/>
        <auto val="1"/>
        <lblAlgn val="ctr"/>
        <lblOffset val="100"/>
        <noMultiLvlLbl val="0"/>
      </catAx>
      <valAx>
        <axId val="146998016"/>
        <scaling>
          <orientation val="minMax"/>
        </scaling>
        <delete val="0"/>
        <axPos val="l"/>
        <majorGridlines/>
        <numFmt formatCode="_-* #\ ##0\ _€_-;\-* #\ ##0\ _€_-;_-* &quot;-&quot;??\ _€_-;_-@_-" sourceLinked="1"/>
        <majorTickMark val="out"/>
        <minorTickMark val="none"/>
        <tickLblPos val="nextTo"/>
        <crossAx val="146992128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strRef>
              <f>'Evolution clients'!$B$4</f>
              <strCache>
                <ptCount val="1"/>
                <pt idx="0">
                  <v xml:space="preserve">Logistique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clients'!$A$5:$A$16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clients'!$B$5:$B$16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22000000</v>
                </pt>
                <pt idx="3">
                  <v>33000000</v>
                </pt>
                <pt idx="4">
                  <v>22453000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1"/>
          <order val="1"/>
          <tx>
            <strRef>
              <f>'Evolution clients'!$C$4</f>
              <strCache>
                <ptCount val="1"/>
                <pt idx="0">
                  <v>IMAR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clients'!$A$5:$A$16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clients'!$C$5:$C$16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2"/>
          <order val="2"/>
          <tx>
            <strRef>
              <f>'Evolution clients'!$D$4</f>
              <strCache>
                <ptCount val="1"/>
                <pt idx="0">
                  <v xml:space="preserve"> HINT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clients'!$A$5:$A$16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clients'!$D$5:$D$16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3"/>
          <order val="3"/>
          <tx>
            <strRef>
              <f>'Evolution clients'!$E$4</f>
              <strCache>
                <ptCount val="1"/>
                <pt idx="0">
                  <v xml:space="preserve"> IAER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clients'!$A$5:$A$16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clients'!$E$5:$E$16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4"/>
          <order val="4"/>
          <tx>
            <strRef>
              <f>'Evolution clients'!$F$4</f>
              <strCache>
                <ptCount val="1"/>
                <pt idx="0">
                  <v xml:space="preserve"> EAER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clients'!$A$5:$A$16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clients'!$F$5:$F$16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5"/>
          <order val="5"/>
          <tx>
            <strRef>
              <f>'Evolution clients'!$G$4</f>
              <strCache>
                <ptCount val="1"/>
                <pt idx="0">
                  <v xml:space="preserve"> AERIEN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clients'!$A$5:$A$16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clients'!$G$5:$G$16</f>
            </numRef>
          </val>
          <smooth val="0"/>
        </ser>
        <ser>
          <idx val="6"/>
          <order val="6"/>
          <tx>
            <strRef>
              <f>'Evolution clients'!$H$4</f>
              <strCache>
                <ptCount val="1"/>
                <pt idx="0">
                  <v xml:space="preserve"> EXPORT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clients'!$A$5:$A$16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clients'!$H$5:$H$16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7"/>
          <order val="7"/>
          <tx>
            <strRef>
              <f>'Evolution clients'!$I$4</f>
              <strCache>
                <ptCount val="1"/>
                <pt idx="0">
                  <v xml:space="preserve"> SIRT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clients'!$A$5:$A$16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clients'!$I$5:$I$16</f>
            </numRef>
          </val>
          <smooth val="0"/>
        </ser>
        <ser>
          <idx val="8"/>
          <order val="8"/>
          <tx>
            <strRef>
              <f>'Evolution clients'!$J$4</f>
              <strCache>
                <ptCount val="1"/>
                <pt idx="0">
                  <v xml:space="preserve"> Afritramp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clients'!$A$5:$A$16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clients'!$J$5:$J$16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9"/>
          <order val="9"/>
          <tx>
            <strRef>
              <f>'Evolution clients'!$K$4</f>
              <strCache>
                <ptCount val="1"/>
                <pt idx="0">
                  <v xml:space="preserve"> Meet &amp; Greet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clients'!$A$5:$A$16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clients'!$K$5:$K$16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46715008"/>
        <axId val="146716544"/>
      </lineChart>
      <catAx>
        <axId val="146715008"/>
        <scaling>
          <orientation val="minMax"/>
        </scaling>
        <delete val="0"/>
        <axPos val="b"/>
        <numFmt formatCode="General" sourceLinked="0"/>
        <majorTickMark val="out"/>
        <minorTickMark val="none"/>
        <tickLblPos val="nextTo"/>
        <crossAx val="146716544"/>
        <crosses val="autoZero"/>
        <auto val="1"/>
        <lblAlgn val="ctr"/>
        <lblOffset val="100"/>
        <noMultiLvlLbl val="0"/>
      </catAx>
      <valAx>
        <axId val="146716544"/>
        <scaling>
          <orientation val="minMax"/>
        </scaling>
        <delete val="0"/>
        <axPos val="l"/>
        <majorGridlines/>
        <numFmt formatCode="_-* #\ ##0\ _€_-;\-* #\ ##0\ _€_-;_-* &quot;-&quot;??\ _€_-;_-@_-" sourceLinked="1"/>
        <majorTickMark val="out"/>
        <minorTickMark val="none"/>
        <tickLblPos val="nextTo"/>
        <crossAx val="146715008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strRef>
              <f>'Evolution clients'!$B$21</f>
              <strCache>
                <ptCount val="1"/>
                <pt idx="0">
                  <v xml:space="preserve">Logistique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clients'!$A$22:$A$33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clients'!$B$22:$B$33</f>
              <numCache>
                <formatCode>_-* #\ ##0\ _€_-;\-* #\ ##0\ _€_-;_-* "-"??\ _€_-;_-@_-</formatCode>
                <ptCount val="12"/>
                <pt idx="0">
                  <v>136700312</v>
                </pt>
                <pt idx="1">
                  <v>548844</v>
                </pt>
                <pt idx="2">
                  <v>60825072</v>
                </pt>
                <pt idx="3">
                  <v>6059636</v>
                </pt>
                <pt idx="4">
                  <v>11176613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1"/>
          <order val="1"/>
          <tx>
            <strRef>
              <f>'Evolution clients'!$C$21</f>
              <strCache>
                <ptCount val="1"/>
                <pt idx="0">
                  <v>IMAR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clients'!$A$22:$A$33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clients'!$C$22:$C$33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86210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2"/>
          <order val="2"/>
          <tx>
            <strRef>
              <f>'Evolution clients'!$D$21</f>
              <strCache>
                <ptCount val="1"/>
                <pt idx="0">
                  <v xml:space="preserve"> HINT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clients'!$A$22:$A$33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clients'!$D$22:$D$33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3"/>
          <order val="3"/>
          <tx>
            <strRef>
              <f>'Evolution clients'!$E$21</f>
              <strCache>
                <ptCount val="1"/>
                <pt idx="0">
                  <v xml:space="preserve"> IAER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clients'!$A$22:$A$33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clients'!$E$22:$E$33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13285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4"/>
          <order val="4"/>
          <tx>
            <strRef>
              <f>'Evolution clients'!$F$21</f>
              <strCache>
                <ptCount val="1"/>
                <pt idx="0">
                  <v xml:space="preserve"> EAER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clients'!$A$22:$A$33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clients'!$F$22:$F$33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5"/>
          <order val="5"/>
          <tx>
            <strRef>
              <f>'Evolution clients'!$G$21</f>
              <strCache>
                <ptCount val="1"/>
                <pt idx="0">
                  <v xml:space="preserve"> AERIEN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clients'!$A$22:$A$33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clients'!$G$22:$G$33</f>
            </numRef>
          </val>
          <smooth val="0"/>
        </ser>
        <ser>
          <idx val="6"/>
          <order val="6"/>
          <tx>
            <strRef>
              <f>'Evolution clients'!$H$21</f>
              <strCache>
                <ptCount val="1"/>
                <pt idx="0">
                  <v xml:space="preserve"> EXPORT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clients'!$A$22:$A$33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clients'!$H$22:$H$33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7"/>
          <order val="7"/>
          <tx>
            <strRef>
              <f>'Evolution clients'!$I$21</f>
              <strCache>
                <ptCount val="1"/>
                <pt idx="0">
                  <v xml:space="preserve"> SIRT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clients'!$A$22:$A$33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clients'!$I$22:$I$33</f>
            </numRef>
          </val>
          <smooth val="0"/>
        </ser>
        <ser>
          <idx val="8"/>
          <order val="8"/>
          <tx>
            <strRef>
              <f>'Evolution clients'!$J$21</f>
              <strCache>
                <ptCount val="1"/>
                <pt idx="0">
                  <v xml:space="preserve"> Afritramp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clients'!$A$22:$A$33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clients'!$J$22:$J$33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9"/>
          <order val="9"/>
          <tx>
            <strRef>
              <f>'Evolution clients'!$K$21</f>
              <strCache>
                <ptCount val="1"/>
                <pt idx="0">
                  <v xml:space="preserve"> Meet &amp; Greet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clients'!$A$22:$A$33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clients'!$K$22:$K$33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46846848"/>
        <axId val="146848384"/>
      </lineChart>
      <catAx>
        <axId val="146846848"/>
        <scaling>
          <orientation val="minMax"/>
        </scaling>
        <delete val="0"/>
        <axPos val="b"/>
        <numFmt formatCode="General" sourceLinked="0"/>
        <majorTickMark val="out"/>
        <minorTickMark val="none"/>
        <tickLblPos val="nextTo"/>
        <crossAx val="146848384"/>
        <crosses val="autoZero"/>
        <auto val="1"/>
        <lblAlgn val="ctr"/>
        <lblOffset val="100"/>
        <noMultiLvlLbl val="0"/>
      </catAx>
      <valAx>
        <axId val="146848384"/>
        <scaling>
          <orientation val="minMax"/>
        </scaling>
        <delete val="0"/>
        <axPos val="l"/>
        <majorGridlines/>
        <numFmt formatCode="_-* #\ ##0\ _€_-;\-* #\ ##0\ _€_-;_-* &quot;-&quot;??\ _€_-;_-@_-" sourceLinked="1"/>
        <majorTickMark val="out"/>
        <minorTickMark val="none"/>
        <tickLblPos val="nextTo"/>
        <crossAx val="146846848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strRef>
              <f>'Evolution clients'!$B$38</f>
              <strCache>
                <ptCount val="1"/>
                <pt idx="0">
                  <v xml:space="preserve">Logistique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clients'!$A$39:$A$50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clients'!$B$39:$B$50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97395200</v>
                </pt>
                <pt idx="4">
                  <v>22146906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1"/>
          <order val="1"/>
          <tx>
            <strRef>
              <f>'Evolution clients'!$C$38</f>
              <strCache>
                <ptCount val="1"/>
                <pt idx="0">
                  <v>IMAR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clients'!$A$39:$A$50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clients'!$C$39:$C$50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2323630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2"/>
          <order val="2"/>
          <tx>
            <strRef>
              <f>'Evolution clients'!$D$38</f>
              <strCache>
                <ptCount val="1"/>
                <pt idx="0">
                  <v xml:space="preserve"> HINT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clients'!$A$39:$A$50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clients'!$D$39:$D$50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3"/>
          <order val="3"/>
          <tx>
            <strRef>
              <f>'Evolution clients'!$E$38</f>
              <strCache>
                <ptCount val="1"/>
                <pt idx="0">
                  <v xml:space="preserve"> IAER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clients'!$A$39:$A$50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clients'!$E$39:$E$50</f>
              <numCache>
                <formatCode>_-* #\ ##0\ _€_-;\-* #\ ##0\ _€_-;_-* "-"??\ _€_-;_-@_-</formatCode>
                <ptCount val="12"/>
                <pt idx="0">
                  <v>11198009</v>
                </pt>
                <pt idx="1">
                  <v>0</v>
                </pt>
                <pt idx="2">
                  <v>301740</v>
                </pt>
                <pt idx="3">
                  <v>0</v>
                </pt>
                <pt idx="4">
                  <v>301740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4"/>
          <order val="4"/>
          <tx>
            <strRef>
              <f>'Evolution clients'!$F$38</f>
              <strCache>
                <ptCount val="1"/>
                <pt idx="0">
                  <v xml:space="preserve"> EAER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clients'!$A$39:$A$50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clients'!$F$39:$F$50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5"/>
          <order val="5"/>
          <tx>
            <strRef>
              <f>'Evolution clients'!$G$38</f>
              <strCache>
                <ptCount val="1"/>
                <pt idx="0">
                  <v xml:space="preserve"> AERIEN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clients'!$A$39:$A$50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clients'!$G$39:$G$50</f>
            </numRef>
          </val>
          <smooth val="0"/>
        </ser>
        <ser>
          <idx val="6"/>
          <order val="6"/>
          <tx>
            <strRef>
              <f>'Evolution clients'!$H$38</f>
              <strCache>
                <ptCount val="1"/>
                <pt idx="0">
                  <v xml:space="preserve"> EXPORT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clients'!$A$39:$A$50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clients'!$H$39:$H$50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7"/>
          <order val="7"/>
          <tx>
            <strRef>
              <f>'Evolution clients'!$I$38</f>
              <strCache>
                <ptCount val="1"/>
                <pt idx="0">
                  <v xml:space="preserve"> SIRT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clients'!$A$39:$A$50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clients'!$I$39:$I$50</f>
            </numRef>
          </val>
          <smooth val="0"/>
        </ser>
        <ser>
          <idx val="8"/>
          <order val="8"/>
          <tx>
            <strRef>
              <f>'Evolution clients'!$J$38</f>
              <strCache>
                <ptCount val="1"/>
                <pt idx="0">
                  <v xml:space="preserve"> Afritramp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clients'!$A$39:$A$50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clients'!$J$39:$J$50</f>
              <numCache>
                <formatCode>_-* #\ ##0\ _€_-;\-* #\ ##0\ _€_-;_-* "-"??\ _€_-;_-@_-</formatCode>
                <ptCount val="12"/>
                <pt idx="0">
                  <v>2368000</v>
                </pt>
                <pt idx="1">
                  <v>0</v>
                </pt>
                <pt idx="2">
                  <v>3300000</v>
                </pt>
                <pt idx="3">
                  <v>0</v>
                </pt>
                <pt idx="4">
                  <v>1800000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9"/>
          <order val="9"/>
          <tx>
            <strRef>
              <f>'Evolution clients'!$K$38</f>
              <strCache>
                <ptCount val="1"/>
                <pt idx="0">
                  <v xml:space="preserve"> Meet &amp; Greet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clients'!$A$39:$A$50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clients'!$K$39:$K$50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46900480"/>
        <axId val="146902016"/>
      </lineChart>
      <catAx>
        <axId val="146900480"/>
        <scaling>
          <orientation val="minMax"/>
        </scaling>
        <delete val="0"/>
        <axPos val="b"/>
        <numFmt formatCode="General" sourceLinked="0"/>
        <majorTickMark val="out"/>
        <minorTickMark val="none"/>
        <tickLblPos val="nextTo"/>
        <crossAx val="146902016"/>
        <crosses val="autoZero"/>
        <auto val="1"/>
        <lblAlgn val="ctr"/>
        <lblOffset val="100"/>
        <noMultiLvlLbl val="0"/>
      </catAx>
      <valAx>
        <axId val="146902016"/>
        <scaling>
          <orientation val="minMax"/>
        </scaling>
        <delete val="0"/>
        <axPos val="l"/>
        <majorGridlines/>
        <numFmt formatCode="_-* #\ ##0\ _€_-;\-* #\ ##0\ _€_-;_-* &quot;-&quot;??\ _€_-;_-@_-" sourceLinked="1"/>
        <majorTickMark val="out"/>
        <minorTickMark val="none"/>
        <tickLblPos val="nextTo"/>
        <crossAx val="146900480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strRef>
              <f>'Evolution clients'!$B$55</f>
              <strCache>
                <ptCount val="1"/>
                <pt idx="0">
                  <v xml:space="preserve">Logistique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clients'!$A$56:$A$67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clients'!$B$56:$B$67</f>
              <numCache>
                <formatCode>_-* #\ ##0\ _€_-;\-* #\ ##0\ _€_-;_-* "-"??\ _€_-;_-@_-</formatCode>
                <ptCount val="12"/>
                <pt idx="0">
                  <v>85206984</v>
                </pt>
                <pt idx="1">
                  <v>59622025</v>
                </pt>
                <pt idx="2">
                  <v>193586525</v>
                </pt>
                <pt idx="3">
                  <v>59262025</v>
                </pt>
                <pt idx="4">
                  <v>158065059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1"/>
          <order val="1"/>
          <tx>
            <strRef>
              <f>'Evolution clients'!$C$55</f>
              <strCache>
                <ptCount val="1"/>
                <pt idx="0">
                  <v>IMAR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clients'!$A$56:$A$67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clients'!$C$56:$C$67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2"/>
          <order val="2"/>
          <tx>
            <strRef>
              <f>'Evolution clients'!$D$55</f>
              <strCache>
                <ptCount val="1"/>
                <pt idx="0">
                  <v xml:space="preserve"> HINT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clients'!$A$56:$A$67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clients'!$D$56:$D$67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3"/>
          <order val="3"/>
          <tx>
            <strRef>
              <f>'Evolution clients'!$E$55</f>
              <strCache>
                <ptCount val="1"/>
                <pt idx="0">
                  <v xml:space="preserve"> IAER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clients'!$A$56:$A$67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clients'!$E$56:$E$67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4"/>
          <order val="4"/>
          <tx>
            <strRef>
              <f>'Evolution clients'!$F$55</f>
              <strCache>
                <ptCount val="1"/>
                <pt idx="0">
                  <v xml:space="preserve"> EAER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clients'!$A$56:$A$67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clients'!$F$56:$F$67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5"/>
          <order val="5"/>
          <tx>
            <strRef>
              <f>'Evolution clients'!$G$55</f>
              <strCache>
                <ptCount val="1"/>
                <pt idx="0">
                  <v xml:space="preserve"> AERIEN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clients'!$A$56:$A$67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clients'!$G$56:$G$67</f>
            </numRef>
          </val>
          <smooth val="0"/>
        </ser>
        <ser>
          <idx val="6"/>
          <order val="6"/>
          <tx>
            <strRef>
              <f>'Evolution clients'!$H$55</f>
              <strCache>
                <ptCount val="1"/>
                <pt idx="0">
                  <v xml:space="preserve"> EXPORT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clients'!$A$56:$A$67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clients'!$H$56:$H$67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7"/>
          <order val="7"/>
          <tx>
            <strRef>
              <f>'Evolution clients'!$I$55</f>
              <strCache>
                <ptCount val="1"/>
                <pt idx="0">
                  <v xml:space="preserve"> SIRT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clients'!$A$56:$A$67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clients'!$I$56:$I$67</f>
            </numRef>
          </val>
          <smooth val="0"/>
        </ser>
        <ser>
          <idx val="8"/>
          <order val="8"/>
          <tx>
            <strRef>
              <f>'Evolution clients'!$J$55</f>
              <strCache>
                <ptCount val="1"/>
                <pt idx="0">
                  <v xml:space="preserve"> Afritramp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clients'!$A$56:$A$67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clients'!$J$56:$J$67</f>
              <numCache>
                <formatCode>_-* #\ ##0\ _€_-;\-* #\ ##0\ _€_-;_-* "-"??\ _€_-;_-@_-</formatCode>
                <ptCount val="12"/>
                <pt idx="0">
                  <v>219758</v>
                </pt>
                <pt idx="1">
                  <v>1650000</v>
                </pt>
                <pt idx="2">
                  <v>4850000</v>
                </pt>
                <pt idx="3">
                  <v>4311221</v>
                </pt>
                <pt idx="4">
                  <v>4743565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9"/>
          <order val="9"/>
          <tx>
            <strRef>
              <f>'Evolution clients'!$K$55</f>
              <strCache>
                <ptCount val="1"/>
                <pt idx="0">
                  <v xml:space="preserve"> Meet &amp; Greet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clients'!$A$56:$A$67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clients'!$K$56:$K$67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47146624"/>
        <axId val="147148160"/>
      </lineChart>
      <catAx>
        <axId val="147146624"/>
        <scaling>
          <orientation val="minMax"/>
        </scaling>
        <delete val="0"/>
        <axPos val="b"/>
        <numFmt formatCode="General" sourceLinked="0"/>
        <majorTickMark val="out"/>
        <minorTickMark val="none"/>
        <tickLblPos val="nextTo"/>
        <crossAx val="147148160"/>
        <crosses val="autoZero"/>
        <auto val="1"/>
        <lblAlgn val="ctr"/>
        <lblOffset val="100"/>
        <noMultiLvlLbl val="0"/>
      </catAx>
      <valAx>
        <axId val="147148160"/>
        <scaling>
          <orientation val="minMax"/>
        </scaling>
        <delete val="0"/>
        <axPos val="l"/>
        <majorGridlines/>
        <numFmt formatCode="_-* #\ ##0\ _€_-;\-* #\ ##0\ _€_-;_-* &quot;-&quot;??\ _€_-;_-@_-" sourceLinked="1"/>
        <majorTickMark val="out"/>
        <minorTickMark val="none"/>
        <tickLblPos val="nextTo"/>
        <crossAx val="147146624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strRef>
              <f>'Evolution clients'!$B$72</f>
              <strCache>
                <ptCount val="1"/>
                <pt idx="0">
                  <v xml:space="preserve">Logistique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clients'!$A$73:$A$84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clients'!$B$73:$B$84</f>
              <numCache>
                <formatCode>_-* #\ ##0\ _€_-;\-* #\ ##0\ _€_-;_-* "-"??\ _€_-;_-@_-</formatCode>
                <ptCount val="12"/>
                <pt idx="0">
                  <v>46617365</v>
                </pt>
                <pt idx="1">
                  <v>17537053</v>
                </pt>
                <pt idx="2">
                  <v>1665045</v>
                </pt>
                <pt idx="3">
                  <v>18338359</v>
                </pt>
                <pt idx="4">
                  <v>5624074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1"/>
          <order val="1"/>
          <tx>
            <strRef>
              <f>'Evolution clients'!$C$72</f>
              <strCache>
                <ptCount val="1"/>
                <pt idx="0">
                  <v>IMAR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clients'!$A$73:$A$84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clients'!$C$73:$C$84</f>
              <numCache>
                <formatCode>_-* #\ ##0\ _€_-;\-* #\ ##0\ _€_-;_-* "-"??\ _€_-;_-@_-</formatCode>
                <ptCount val="12"/>
                <pt idx="0">
                  <v>2801201</v>
                </pt>
                <pt idx="1">
                  <v>6908800</v>
                </pt>
                <pt idx="2">
                  <v>193500</v>
                </pt>
                <pt idx="3">
                  <v>1898500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2"/>
          <order val="2"/>
          <tx>
            <strRef>
              <f>'Evolution clients'!$D$72</f>
              <strCache>
                <ptCount val="1"/>
                <pt idx="0">
                  <v xml:space="preserve"> HINT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clients'!$A$73:$A$84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clients'!$D$73:$D$84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1325000</v>
                </pt>
                <pt idx="2">
                  <v>0</v>
                </pt>
                <pt idx="3">
                  <v>1095960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3"/>
          <order val="3"/>
          <tx>
            <strRef>
              <f>'Evolution clients'!$E$72</f>
              <strCache>
                <ptCount val="1"/>
                <pt idx="0">
                  <v xml:space="preserve"> IAER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clients'!$A$73:$A$84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clients'!$E$73:$E$84</f>
              <numCache>
                <formatCode>_-* #\ ##0\ _€_-;\-* #\ ##0\ _€_-;_-* "-"??\ _€_-;_-@_-</formatCode>
                <ptCount val="12"/>
                <pt idx="0">
                  <v>16006847</v>
                </pt>
                <pt idx="1">
                  <v>19213726</v>
                </pt>
                <pt idx="2">
                  <v>6053268</v>
                </pt>
                <pt idx="3">
                  <v>2949442</v>
                </pt>
                <pt idx="4">
                  <v>10713205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4"/>
          <order val="4"/>
          <tx>
            <strRef>
              <f>'Evolution clients'!$F$72</f>
              <strCache>
                <ptCount val="1"/>
                <pt idx="0">
                  <v xml:space="preserve"> EAER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clients'!$A$73:$A$84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clients'!$F$73:$F$84</f>
              <numCache>
                <formatCode>_-* #\ ##0\ _€_-;\-* #\ ##0\ _€_-;_-* "-"??\ _€_-;_-@_-</formatCode>
                <ptCount val="12"/>
                <pt idx="0">
                  <v>467758</v>
                </pt>
                <pt idx="1">
                  <v>0</v>
                </pt>
                <pt idx="2">
                  <v>0</v>
                </pt>
                <pt idx="3">
                  <v>1194813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5"/>
          <order val="5"/>
          <tx>
            <strRef>
              <f>'Evolution clients'!$G$72</f>
              <strCache>
                <ptCount val="1"/>
                <pt idx="0">
                  <v xml:space="preserve"> AERIEN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clients'!$A$73:$A$84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clients'!$G$73:$G$84</f>
            </numRef>
          </val>
          <smooth val="0"/>
        </ser>
        <ser>
          <idx val="6"/>
          <order val="6"/>
          <tx>
            <strRef>
              <f>'Evolution clients'!$H$72</f>
              <strCache>
                <ptCount val="1"/>
                <pt idx="0">
                  <v xml:space="preserve"> EXPORT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clients'!$A$73:$A$84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clients'!$H$73:$H$84</f>
              <numCache>
                <formatCode>_-* #\ ##0\ _€_-;\-* #\ ##0\ _€_-;_-* "-"??\ _€_-;_-@_-</formatCode>
                <ptCount val="12"/>
                <pt idx="0">
                  <v>403263</v>
                </pt>
                <pt idx="1">
                  <v>0</v>
                </pt>
                <pt idx="2">
                  <v>0</v>
                </pt>
                <pt idx="3">
                  <v>4292900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7"/>
          <order val="7"/>
          <tx>
            <strRef>
              <f>'Evolution clients'!$I$72</f>
              <strCache>
                <ptCount val="1"/>
                <pt idx="0">
                  <v xml:space="preserve"> SIRT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clients'!$A$73:$A$84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clients'!$I$73:$I$84</f>
            </numRef>
          </val>
          <smooth val="0"/>
        </ser>
        <ser>
          <idx val="8"/>
          <order val="8"/>
          <tx>
            <strRef>
              <f>'Evolution clients'!$J$72</f>
              <strCache>
                <ptCount val="1"/>
                <pt idx="0">
                  <v xml:space="preserve"> Afritramp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clients'!$A$73:$A$84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clients'!$J$73:$J$84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9"/>
          <order val="9"/>
          <tx>
            <strRef>
              <f>'Evolution clients'!$K$72</f>
              <strCache>
                <ptCount val="1"/>
                <pt idx="0">
                  <v xml:space="preserve"> Meet &amp; Greet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clients'!$A$73:$A$84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clients'!$K$73:$K$84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51013632"/>
        <axId val="151023616"/>
      </lineChart>
      <catAx>
        <axId val="151013632"/>
        <scaling>
          <orientation val="minMax"/>
        </scaling>
        <delete val="0"/>
        <axPos val="b"/>
        <numFmt formatCode="General" sourceLinked="0"/>
        <majorTickMark val="out"/>
        <minorTickMark val="none"/>
        <tickLblPos val="nextTo"/>
        <crossAx val="151023616"/>
        <crosses val="autoZero"/>
        <auto val="1"/>
        <lblAlgn val="ctr"/>
        <lblOffset val="100"/>
        <noMultiLvlLbl val="0"/>
      </catAx>
      <valAx>
        <axId val="151023616"/>
        <scaling>
          <orientation val="minMax"/>
        </scaling>
        <delete val="0"/>
        <axPos val="l"/>
        <majorGridlines/>
        <numFmt formatCode="_-* #\ ##0\ _€_-;\-* #\ ##0\ _€_-;_-* &quot;-&quot;??\ _€_-;_-@_-" sourceLinked="1"/>
        <majorTickMark val="out"/>
        <minorTickMark val="none"/>
        <tickLblPos val="nextTo"/>
        <crossAx val="151013632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strRef>
              <f>'Evolution clients'!$B$88</f>
              <strCache>
                <ptCount val="1"/>
                <pt idx="0">
                  <v xml:space="preserve">Logistique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clients'!$A$89:$A$100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clients'!$B$89:$B$100</f>
              <numCache>
                <formatCode>_-* #\ ##0\ _€_-;\-* #\ ##0\ _€_-;_-* "-"??\ _€_-;_-@_-</formatCode>
                <ptCount val="12"/>
                <pt idx="0">
                  <v>60126620</v>
                </pt>
                <pt idx="1">
                  <v>105856520</v>
                </pt>
                <pt idx="2">
                  <v>37724123</v>
                </pt>
                <pt idx="3">
                  <v>182096640</v>
                </pt>
                <pt idx="4">
                  <v>73183050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1"/>
          <order val="1"/>
          <tx>
            <strRef>
              <f>'Evolution clients'!$C$88</f>
              <strCache>
                <ptCount val="1"/>
                <pt idx="0">
                  <v>IMAR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clients'!$A$89:$A$100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clients'!$C$89:$C$100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2"/>
          <order val="2"/>
          <tx>
            <strRef>
              <f>'Evolution clients'!$D$88</f>
              <strCache>
                <ptCount val="1"/>
                <pt idx="0">
                  <v xml:space="preserve"> HINT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clients'!$A$89:$A$100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clients'!$D$89:$D$100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3"/>
          <order val="3"/>
          <tx>
            <strRef>
              <f>'Evolution clients'!$E$88</f>
              <strCache>
                <ptCount val="1"/>
                <pt idx="0">
                  <v xml:space="preserve"> IAER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clients'!$A$89:$A$100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clients'!$E$89:$E$100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4"/>
          <order val="4"/>
          <tx>
            <strRef>
              <f>'Evolution clients'!$F$88</f>
              <strCache>
                <ptCount val="1"/>
                <pt idx="0">
                  <v xml:space="preserve"> EAER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clients'!$A$89:$A$100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clients'!$F$89:$F$100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5"/>
          <order val="5"/>
          <tx>
            <strRef>
              <f>'Evolution clients'!$G$88</f>
              <strCache>
                <ptCount val="1"/>
                <pt idx="0">
                  <v xml:space="preserve"> AERIEN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clients'!$A$89:$A$100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clients'!$G$89:$G$100</f>
            </numRef>
          </val>
          <smooth val="0"/>
        </ser>
        <ser>
          <idx val="6"/>
          <order val="6"/>
          <tx>
            <strRef>
              <f>'Evolution clients'!$H$88</f>
              <strCache>
                <ptCount val="1"/>
                <pt idx="0">
                  <v xml:space="preserve"> EXPORT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clients'!$A$89:$A$100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clients'!$H$89:$H$100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7"/>
          <order val="7"/>
          <tx>
            <strRef>
              <f>'Evolution clients'!$I$88</f>
              <strCache>
                <ptCount val="1"/>
                <pt idx="0">
                  <v xml:space="preserve"> SIRT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clients'!$A$89:$A$100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clients'!$I$89:$I$100</f>
            </numRef>
          </val>
          <smooth val="0"/>
        </ser>
        <ser>
          <idx val="8"/>
          <order val="8"/>
          <tx>
            <strRef>
              <f>'Evolution clients'!$J$88</f>
              <strCache>
                <ptCount val="1"/>
                <pt idx="0">
                  <v xml:space="preserve"> Afritramp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clients'!$A$89:$A$100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clients'!$J$89:$J$100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9"/>
          <order val="9"/>
          <tx>
            <strRef>
              <f>'Evolution clients'!$K$88</f>
              <strCache>
                <ptCount val="1"/>
                <pt idx="0">
                  <v xml:space="preserve"> Meet &amp; Greet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clients'!$A$89:$A$100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clients'!$K$89:$K$100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51133184"/>
        <axId val="151139072"/>
      </lineChart>
      <catAx>
        <axId val="151133184"/>
        <scaling>
          <orientation val="minMax"/>
        </scaling>
        <delete val="0"/>
        <axPos val="b"/>
        <numFmt formatCode="General" sourceLinked="0"/>
        <majorTickMark val="out"/>
        <minorTickMark val="none"/>
        <tickLblPos val="nextTo"/>
        <crossAx val="151139072"/>
        <crosses val="autoZero"/>
        <auto val="1"/>
        <lblAlgn val="ctr"/>
        <lblOffset val="100"/>
        <noMultiLvlLbl val="0"/>
      </catAx>
      <valAx>
        <axId val="151139072"/>
        <scaling>
          <orientation val="minMax"/>
        </scaling>
        <delete val="0"/>
        <axPos val="l"/>
        <majorGridlines/>
        <numFmt formatCode="_-* #\ ##0\ _€_-;\-* #\ ##0\ _€_-;_-* &quot;-&quot;??\ _€_-;_-@_-" sourceLinked="1"/>
        <majorTickMark val="out"/>
        <minorTickMark val="none"/>
        <tickLblPos val="nextTo"/>
        <crossAx val="151133184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strRef>
              <f>'Evolution clients'!$B$105</f>
              <strCache>
                <ptCount val="1"/>
                <pt idx="0">
                  <v xml:space="preserve">Logistique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clients'!$A$106:$A$117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clients'!$B$106:$B$117</f>
              <numCache>
                <formatCode>_-* #\ ##0\ _€_-;\-* #\ ##0\ _€_-;_-* "-"??\ _€_-;_-@_-</formatCode>
                <ptCount val="12"/>
                <pt idx="0">
                  <v>56452638</v>
                </pt>
                <pt idx="1">
                  <v>39389020</v>
                </pt>
                <pt idx="2">
                  <v>0</v>
                </pt>
                <pt idx="3">
                  <v>57612190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1"/>
          <order val="1"/>
          <tx>
            <strRef>
              <f>'Evolution clients'!$C$105</f>
              <strCache>
                <ptCount val="1"/>
                <pt idx="0">
                  <v>IMAR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clients'!$A$106:$A$117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clients'!$C$106:$C$117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2"/>
          <order val="2"/>
          <tx>
            <strRef>
              <f>'Evolution clients'!$D$105</f>
              <strCache>
                <ptCount val="1"/>
                <pt idx="0">
                  <v xml:space="preserve"> HINT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clients'!$A$106:$A$117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clients'!$D$106:$D$117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3"/>
          <order val="3"/>
          <tx>
            <strRef>
              <f>'Evolution clients'!$E$105</f>
              <strCache>
                <ptCount val="1"/>
                <pt idx="0">
                  <v xml:space="preserve"> IAER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clients'!$A$106:$A$117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clients'!$E$106:$E$117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4"/>
          <order val="4"/>
          <tx>
            <strRef>
              <f>'Evolution clients'!$F$105</f>
              <strCache>
                <ptCount val="1"/>
                <pt idx="0">
                  <v xml:space="preserve"> EAER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clients'!$A$106:$A$117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clients'!$F$106:$F$117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5"/>
          <order val="5"/>
          <tx>
            <strRef>
              <f>'Evolution clients'!$G$105</f>
              <strCache>
                <ptCount val="1"/>
                <pt idx="0">
                  <v xml:space="preserve"> AERIEN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clients'!$A$106:$A$117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clients'!$G$106:$G$117</f>
            </numRef>
          </val>
          <smooth val="0"/>
        </ser>
        <ser>
          <idx val="6"/>
          <order val="6"/>
          <tx>
            <strRef>
              <f>'Evolution clients'!$H$105</f>
              <strCache>
                <ptCount val="1"/>
                <pt idx="0">
                  <v xml:space="preserve"> EXPORT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clients'!$A$106:$A$117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clients'!$H$106:$H$117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4500000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7"/>
          <order val="7"/>
          <tx>
            <strRef>
              <f>'Evolution clients'!$I$105</f>
              <strCache>
                <ptCount val="1"/>
                <pt idx="0">
                  <v xml:space="preserve"> SIRT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clients'!$A$106:$A$117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clients'!$I$106:$I$117</f>
            </numRef>
          </val>
          <smooth val="0"/>
        </ser>
        <ser>
          <idx val="8"/>
          <order val="8"/>
          <tx>
            <strRef>
              <f>'Evolution clients'!$J$105</f>
              <strCache>
                <ptCount val="1"/>
                <pt idx="0">
                  <v xml:space="preserve"> Afritramp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clients'!$A$106:$A$117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clients'!$J$106:$J$117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9"/>
          <order val="9"/>
          <tx>
            <strRef>
              <f>'Evolution clients'!$K$105</f>
              <strCache>
                <ptCount val="1"/>
                <pt idx="0">
                  <v xml:space="preserve"> Meet &amp; Greet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clients'!$A$106:$A$117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clients'!$K$106:$K$117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51186816"/>
        <axId val="149685376"/>
      </lineChart>
      <catAx>
        <axId val="151186816"/>
        <scaling>
          <orientation val="minMax"/>
        </scaling>
        <delete val="0"/>
        <axPos val="b"/>
        <numFmt formatCode="General" sourceLinked="0"/>
        <majorTickMark val="out"/>
        <minorTickMark val="none"/>
        <tickLblPos val="nextTo"/>
        <crossAx val="149685376"/>
        <crosses val="autoZero"/>
        <auto val="1"/>
        <lblAlgn val="ctr"/>
        <lblOffset val="100"/>
        <noMultiLvlLbl val="0"/>
      </catAx>
      <valAx>
        <axId val="149685376"/>
        <scaling>
          <orientation val="minMax"/>
        </scaling>
        <delete val="0"/>
        <axPos val="l"/>
        <majorGridlines/>
        <numFmt formatCode="_-* #\ ##0\ _€_-;\-* #\ ##0\ _€_-;_-* &quot;-&quot;??\ _€_-;_-@_-" sourceLinked="1"/>
        <majorTickMark val="out"/>
        <minorTickMark val="none"/>
        <tickLblPos val="nextTo"/>
        <crossAx val="151186816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Relationship Type="http://schemas.openxmlformats.org/officeDocument/2006/relationships/chart" Target="/xl/charts/chart6.xml" Id="rId2" /><Relationship Type="http://schemas.openxmlformats.org/officeDocument/2006/relationships/chart" Target="/xl/charts/chart7.xml" Id="rId3" /><Relationship Type="http://schemas.openxmlformats.org/officeDocument/2006/relationships/chart" Target="/xl/charts/chart8.xml" Id="rId4" /><Relationship Type="http://schemas.openxmlformats.org/officeDocument/2006/relationships/chart" Target="/xl/charts/chart9.xml" Id="rId5" /><Relationship Type="http://schemas.openxmlformats.org/officeDocument/2006/relationships/chart" Target="/xl/charts/chart10.xml" Id="rId6" /><Relationship Type="http://schemas.openxmlformats.org/officeDocument/2006/relationships/chart" Target="/xl/charts/chart11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</col>
      <colOff>704849</colOff>
      <row>8</row>
      <rowOff>152399</rowOff>
    </from>
    <to>
      <col>9</col>
      <colOff>257174</colOff>
      <row>23</row>
      <rowOff>33336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</col>
      <colOff>704850</colOff>
      <row>34</row>
      <rowOff>28575</rowOff>
    </from>
    <to>
      <col>9</col>
      <colOff>171450</colOff>
      <row>48</row>
      <rowOff>100012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1</col>
      <colOff>704850</colOff>
      <row>61</row>
      <rowOff>28575</rowOff>
    </from>
    <to>
      <col>9</col>
      <colOff>171450</colOff>
      <row>75</row>
      <rowOff>100012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  <twoCellAnchor>
    <from>
      <col>1</col>
      <colOff>704850</colOff>
      <row>87</row>
      <rowOff>28575</rowOff>
    </from>
    <to>
      <col>9</col>
      <colOff>171450</colOff>
      <row>101</row>
      <rowOff>100012</rowOff>
    </to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15</col>
      <colOff>285749</colOff>
      <row>2</row>
      <rowOff>180974</rowOff>
    </from>
    <to>
      <col>23</col>
      <colOff>123825</colOff>
      <row>17</row>
      <rowOff>152399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13</col>
      <colOff>142875</colOff>
      <row>20</row>
      <rowOff>28574</rowOff>
    </from>
    <to>
      <col>21</col>
      <colOff>0</colOff>
      <row>34</row>
      <rowOff>190499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13</col>
      <colOff>142874</colOff>
      <row>37</row>
      <rowOff>0</rowOff>
    </from>
    <to>
      <col>21</col>
      <colOff>0</colOff>
      <row>52</row>
      <rowOff>28575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  <twoCellAnchor>
    <from>
      <col>13</col>
      <colOff>171450</colOff>
      <row>54</row>
      <rowOff>0</rowOff>
    </from>
    <to>
      <col>21</col>
      <colOff>0</colOff>
      <row>69</row>
      <rowOff>19050</rowOff>
    </to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twoCellAnchor>
  <twoCellAnchor>
    <from>
      <col>13</col>
      <colOff>200025</colOff>
      <row>71</row>
      <rowOff>9525</rowOff>
    </from>
    <to>
      <col>21</col>
      <colOff>0</colOff>
      <row>86</row>
      <rowOff>9525</rowOff>
    </to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twoCellAnchor>
  <twoCellAnchor>
    <from>
      <col>13</col>
      <colOff>209550</colOff>
      <row>87</row>
      <rowOff>14287</rowOff>
    </from>
    <to>
      <col>20</col>
      <colOff>752475</colOff>
      <row>101</row>
      <rowOff>180975</rowOff>
    </to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twoCellAnchor>
  <twoCellAnchor>
    <from>
      <col>13</col>
      <colOff>171450</colOff>
      <row>104</row>
      <rowOff>4762</rowOff>
    </from>
    <to>
      <col>20</col>
      <colOff>742950</colOff>
      <row>119</row>
      <rowOff>19050</rowOff>
    </to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../../../../../../../../../CONTROLE/PFA/PFA%202014/Fichiers%20SAFARI%20-%20PFA%20&amp;%20Fast%20Close/PFA_FastClose_SAFARI-ALCI.xls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Liste Clients FDC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id="1" name="Tableau1" displayName="Tableau1" ref="A3:M8" headerRowCount="1" totalsRowShown="0">
  <autoFilter ref="A3:M8"/>
  <tableColumns count="13">
    <tableColumn id="1" name="Département"/>
    <tableColumn id="2" name="Janvier" dataDxfId="50" dataCellStyle="Pourcentage">
      <calculatedColumnFormula>Janvier!E53</calculatedColumnFormula>
    </tableColumn>
    <tableColumn id="3" name="Février" dataDxfId="49" dataCellStyle="Pourcentage">
      <calculatedColumnFormula>Février!E53</calculatedColumnFormula>
    </tableColumn>
    <tableColumn id="4" name="Mars" dataDxfId="48" dataCellStyle="Pourcentage">
      <calculatedColumnFormula>Mars!E53</calculatedColumnFormula>
    </tableColumn>
    <tableColumn id="5" name="Avril" dataDxfId="47" dataCellStyle="Pourcentage">
      <calculatedColumnFormula>Avril!E53</calculatedColumnFormula>
    </tableColumn>
    <tableColumn id="6" name="Mai" dataDxfId="46" dataCellStyle="Pourcentage">
      <calculatedColumnFormula>Mai!E53</calculatedColumnFormula>
    </tableColumn>
    <tableColumn id="7" name="Juin" dataDxfId="45" dataCellStyle="Pourcentage">
      <calculatedColumnFormula>Juin!E53</calculatedColumnFormula>
    </tableColumn>
    <tableColumn id="8" name="Juillet" dataDxfId="44" dataCellStyle="Pourcentage">
      <calculatedColumnFormula>Juillet!E53</calculatedColumnFormula>
    </tableColumn>
    <tableColumn id="9" name="Août" dataDxfId="43" dataCellStyle="Pourcentage">
      <calculatedColumnFormula>Aout!E53</calculatedColumnFormula>
    </tableColumn>
    <tableColumn id="10" name="Septembre" dataDxfId="42" dataCellStyle="Pourcentage">
      <calculatedColumnFormula>Septembre!E53</calculatedColumnFormula>
    </tableColumn>
    <tableColumn id="11" name="Octobre" dataDxfId="41" dataCellStyle="Pourcentage">
      <calculatedColumnFormula>Octobre!E53</calculatedColumnFormula>
    </tableColumn>
    <tableColumn id="12" name="Novembre" dataDxfId="40" dataCellStyle="Pourcentage">
      <calculatedColumnFormula>Novembre!E53</calculatedColumnFormula>
    </tableColumn>
    <tableColumn id="13" name="Décembre" dataDxfId="39" dataCellStyle="Pourcentage">
      <calculatedColumnFormula>Décembre!E53</calculatedColumnFormula>
    </tableColumn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id="2" name="Tableau13" displayName="Tableau13" ref="A28:M33" headerRowCount="1" totalsRowShown="0" headerRowDxfId="38">
  <autoFilter ref="A28:M33"/>
  <tableColumns count="13">
    <tableColumn id="1" name="Département"/>
    <tableColumn id="2" name="Janvier" dataDxfId="37" dataCellStyle="Milliers"/>
    <tableColumn id="3" name="Février" dataDxfId="36" dataCellStyle="Milliers"/>
    <tableColumn id="4" name="Mars" dataDxfId="35" dataCellStyle="Milliers"/>
    <tableColumn id="5" name="Avril" dataDxfId="34" dataCellStyle="Milliers"/>
    <tableColumn id="6" name="Mai" dataDxfId="33" dataCellStyle="Milliers"/>
    <tableColumn id="7" name="Juin" dataDxfId="32" dataCellStyle="Milliers"/>
    <tableColumn id="8" name="Juillet" dataDxfId="31" dataCellStyle="Milliers"/>
    <tableColumn id="9" name="Août" dataDxfId="30" dataCellStyle="Milliers"/>
    <tableColumn id="10" name="Septembre" dataDxfId="29" dataCellStyle="Milliers"/>
    <tableColumn id="11" name="Octobre" dataDxfId="28"/>
    <tableColumn id="12" name="Novembre" dataDxfId="27"/>
    <tableColumn id="13" name="Décembre" dataDxfId="26"/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id="3" name="Tableau134" displayName="Tableau134" ref="A55:M60" headerRowCount="1" totalsRowShown="0" headerRowDxfId="25">
  <autoFilter ref="A55:M60"/>
  <tableColumns count="13">
    <tableColumn id="1" name="Département"/>
    <tableColumn id="2" name="Janvier" dataDxfId="24" dataCellStyle="Milliers"/>
    <tableColumn id="3" name="Février" dataDxfId="23" dataCellStyle="Milliers"/>
    <tableColumn id="4" name="Mars" dataDxfId="22" dataCellStyle="Milliers"/>
    <tableColumn id="5" name="Avril" dataDxfId="21" dataCellStyle="Milliers"/>
    <tableColumn id="6" name="Mai" dataDxfId="20" dataCellStyle="Milliers"/>
    <tableColumn id="7" name="Juin" dataDxfId="19" dataCellStyle="Milliers"/>
    <tableColumn id="8" name="Juillet" dataDxfId="18" dataCellStyle="Milliers"/>
    <tableColumn id="9" name="Août" dataDxfId="17" dataCellStyle="Milliers"/>
    <tableColumn id="10" name="Septembre" dataDxfId="16" dataCellStyle="Milliers"/>
    <tableColumn id="11" name="Octobre" dataDxfId="15">
      <calculatedColumnFormula>Octobre!I49</calculatedColumnFormula>
    </tableColumn>
    <tableColumn id="12" name="Novembre" dataDxfId="14">
      <calculatedColumnFormula>Novembre!I49</calculatedColumnFormula>
    </tableColumn>
    <tableColumn id="13" name="Décembre" dataDxfId="13">
      <calculatedColumnFormula>Décembre!I49</calculatedColumnFormula>
    </tableColumn>
  </tableColumns>
  <tableStyleInfo name="TableStyleLight10" showFirstColumn="0" showLastColumn="0" showRowStripes="1" showColumnStripes="0"/>
</table>
</file>

<file path=xl/tables/table4.xml><?xml version="1.0" encoding="utf-8"?>
<table xmlns="http://schemas.openxmlformats.org/spreadsheetml/2006/main" id="4" name="Tableau1345" displayName="Tableau1345" ref="A82:M86" headerRowCount="1" totalsRowShown="0" headerRowDxfId="12">
  <autoFilter ref="A82:M86"/>
  <tableColumns count="13">
    <tableColumn id="1" name="Section"/>
    <tableColumn id="2" name="Janvier" dataDxfId="11" dataCellStyle="Milliers"/>
    <tableColumn id="3" name="Février" dataDxfId="10" dataCellStyle="Milliers"/>
    <tableColumn id="4" name="Mars" dataDxfId="9" dataCellStyle="Milliers"/>
    <tableColumn id="5" name="Avril" dataDxfId="8" dataCellStyle="Milliers"/>
    <tableColumn id="6" name="Mai" dataDxfId="7" dataCellStyle="Milliers"/>
    <tableColumn id="7" name="Juin" dataDxfId="6" dataCellStyle="Milliers"/>
    <tableColumn id="8" name="Juillet" dataDxfId="5" dataCellStyle="Milliers"/>
    <tableColumn id="9" name="Août" dataDxfId="4" dataCellStyle="Milliers"/>
    <tableColumn id="10" name="Septembre" dataDxfId="3" dataCellStyle="Milliers"/>
    <tableColumn id="11" name="Octobre" dataDxfId="2">
      <calculatedColumnFormula>Octobre!I76</calculatedColumnFormula>
    </tableColumn>
    <tableColumn id="12" name="Novembre" dataDxfId="1">
      <calculatedColumnFormula>Novembre!I76</calculatedColumnFormula>
    </tableColumn>
    <tableColumn id="13" name="Décembre" dataDxfId="0">
      <calculatedColumnFormula>Décembre!I75</calculatedColumnFormula>
    </tableColumn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1.xml" Id="rId2" /><Relationship Type="http://schemas.openxmlformats.org/officeDocument/2006/relationships/table" Target="/xl/tables/table2.xml" Id="rId3" /><Relationship Type="http://schemas.openxmlformats.org/officeDocument/2006/relationships/table" Target="/xl/tables/table3.xml" Id="rId4" /><Relationship Type="http://schemas.openxmlformats.org/officeDocument/2006/relationships/table" Target="/xl/tables/table4.xml" Id="rId5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theme="4"/>
    <outlinePr summaryBelow="1" summaryRight="1"/>
    <pageSetUpPr fitToPage="1"/>
  </sheetPr>
  <dimension ref="A2:CM55"/>
  <sheetViews>
    <sheetView showGridLines="0" zoomScale="60" zoomScaleNormal="60" zoomScaleSheetLayoutView="55" zoomScalePageLayoutView="25" workbookViewId="0">
      <selection activeCell="BI32" sqref="BI32"/>
    </sheetView>
  </sheetViews>
  <sheetFormatPr baseColWidth="10" defaultColWidth="9.1796875" defaultRowHeight="23.5"/>
  <cols>
    <col width="26" customWidth="1" style="177" min="1" max="1"/>
    <col hidden="1" width="4.453125" customWidth="1" style="178" min="2" max="2"/>
    <col hidden="1" width="4.26953125" customWidth="1" style="178" min="3" max="3"/>
    <col hidden="1" width="4.1796875" customWidth="1" style="178" min="4" max="4"/>
    <col hidden="1" width="7.54296875" customWidth="1" style="178" min="5" max="5"/>
    <col hidden="1" width="7.81640625" customWidth="1" style="178" min="6" max="6"/>
    <col hidden="1" width="3.453125" customWidth="1" style="178" min="7" max="7"/>
    <col hidden="1" width="3.54296875" customWidth="1" style="178" min="8" max="8"/>
    <col hidden="1" width="4.1796875" customWidth="1" style="178" min="9" max="9"/>
    <col hidden="1" width="4" customWidth="1" style="178" min="10" max="10"/>
    <col hidden="1" width="3.7265625" customWidth="1" style="178" min="11" max="11"/>
    <col hidden="1" width="3.453125" customWidth="1" style="178" min="12" max="12"/>
    <col hidden="1" width="4.81640625" customWidth="1" style="178" min="13" max="13"/>
    <col width="4.7265625" customWidth="1" style="178" min="14" max="14"/>
    <col width="5.1796875" customWidth="1" style="178" min="15" max="15"/>
    <col width="5.453125" bestFit="1" customWidth="1" style="178" min="16" max="17"/>
    <col width="4.7265625" customWidth="1" style="178" min="18" max="61"/>
    <col width="7.26953125" customWidth="1" style="178" min="62" max="62"/>
    <col width="9.1796875" customWidth="1" style="178" min="63" max="16384"/>
  </cols>
  <sheetData>
    <row r="1" ht="18" customHeight="1" thickBot="1"/>
    <row r="2" ht="18" customFormat="1" customHeight="1" s="198">
      <c r="A2" s="179" t="n"/>
      <c r="B2" s="1003" t="inlineStr">
        <is>
          <t>OCT. 2012</t>
        </is>
      </c>
      <c r="C2" s="1004" t="n"/>
      <c r="D2" s="1004" t="n"/>
      <c r="E2" s="1005" t="n"/>
      <c r="F2" s="1003" t="inlineStr">
        <is>
          <t>NOV. 2012</t>
        </is>
      </c>
      <c r="G2" s="1004" t="n"/>
      <c r="H2" s="1004" t="n"/>
      <c r="I2" s="1005" t="n"/>
      <c r="J2" s="1003" t="inlineStr">
        <is>
          <t>DEC. 2012</t>
        </is>
      </c>
      <c r="K2" s="1004" t="n"/>
      <c r="L2" s="1004" t="n"/>
      <c r="M2" s="1005" t="n"/>
      <c r="N2" s="1006" t="n">
        <v>41640</v>
      </c>
      <c r="O2" s="1004" t="n"/>
      <c r="P2" s="1004" t="n"/>
      <c r="Q2" s="1005" t="n"/>
      <c r="R2" s="1006" t="n">
        <v>41671</v>
      </c>
      <c r="S2" s="1004" t="n"/>
      <c r="T2" s="1004" t="n"/>
      <c r="U2" s="1005" t="n"/>
      <c r="V2" s="1006" t="n">
        <v>41699</v>
      </c>
      <c r="W2" s="1004" t="n"/>
      <c r="X2" s="1004" t="n"/>
      <c r="Y2" s="1005" t="n"/>
      <c r="Z2" s="1006" t="n">
        <v>41730</v>
      </c>
      <c r="AA2" s="1004" t="n"/>
      <c r="AB2" s="1004" t="n"/>
      <c r="AC2" s="1005" t="n"/>
      <c r="AD2" s="1006" t="n">
        <v>41760</v>
      </c>
      <c r="AE2" s="1004" t="n"/>
      <c r="AF2" s="1004" t="n"/>
      <c r="AG2" s="1005" t="n"/>
      <c r="AH2" s="1006" t="n">
        <v>41791</v>
      </c>
      <c r="AI2" s="1004" t="n"/>
      <c r="AJ2" s="1004" t="n"/>
      <c r="AK2" s="1005" t="n"/>
      <c r="AL2" s="1006" t="n">
        <v>41821</v>
      </c>
      <c r="AM2" s="1004" t="n"/>
      <c r="AN2" s="1004" t="n"/>
      <c r="AO2" s="1005" t="n"/>
      <c r="AP2" s="1006" t="n">
        <v>41852</v>
      </c>
      <c r="AQ2" s="1004" t="n"/>
      <c r="AR2" s="1004" t="n"/>
      <c r="AS2" s="1005" t="n"/>
      <c r="AT2" s="1006" t="n">
        <v>41883</v>
      </c>
      <c r="AU2" s="1004" t="n"/>
      <c r="AV2" s="1004" t="n"/>
      <c r="AW2" s="1005" t="n"/>
      <c r="AX2" s="1006" t="n">
        <v>41913</v>
      </c>
      <c r="AY2" s="1004" t="n"/>
      <c r="AZ2" s="1004" t="n"/>
      <c r="BA2" s="1005" t="n"/>
      <c r="BB2" s="1006" t="n">
        <v>41944</v>
      </c>
      <c r="BC2" s="1004" t="n"/>
      <c r="BD2" s="1004" t="n"/>
      <c r="BE2" s="1005" t="n"/>
      <c r="BF2" s="900" t="n">
        <v>41974</v>
      </c>
      <c r="BG2" s="1004" t="n"/>
      <c r="BH2" s="1004" t="n"/>
      <c r="BI2" s="1004" t="n"/>
      <c r="BJ2" s="1007" t="inlineStr">
        <is>
          <t>COMMENTAIRES</t>
        </is>
      </c>
      <c r="BK2" s="1008" t="n"/>
      <c r="BL2" s="1008" t="n"/>
      <c r="BM2" s="1008" t="n"/>
      <c r="BN2" s="1008" t="n"/>
      <c r="BO2" s="1008" t="n"/>
      <c r="BP2" s="1008" t="n"/>
      <c r="BQ2" s="1009" t="n"/>
      <c r="BR2" s="178" t="n"/>
      <c r="BS2" s="178" t="n"/>
      <c r="BT2" s="178" t="n"/>
      <c r="BU2" s="178" t="n"/>
      <c r="BV2" s="178" t="n"/>
      <c r="BW2" s="178" t="n"/>
      <c r="BX2" s="178" t="n"/>
      <c r="BY2" s="178" t="n"/>
      <c r="BZ2" s="178" t="n"/>
      <c r="CA2" s="178" t="n"/>
      <c r="CB2" s="178" t="n"/>
      <c r="CC2" s="178" t="n"/>
      <c r="CD2" s="178" t="n"/>
      <c r="CE2" s="178" t="n"/>
      <c r="CF2" s="178" t="n"/>
      <c r="CG2" s="178" t="n"/>
      <c r="CH2" s="178" t="n"/>
      <c r="CI2" s="178" t="n"/>
      <c r="CJ2" s="178" t="n"/>
      <c r="CK2" s="178" t="n"/>
      <c r="CL2" s="178" t="n"/>
      <c r="CM2" s="178" t="n"/>
    </row>
    <row r="3" ht="18" customHeight="1" thickBot="1">
      <c r="B3" s="130" t="n"/>
      <c r="C3" s="131" t="n"/>
      <c r="D3" s="131" t="n"/>
      <c r="E3" s="131" t="n"/>
      <c r="F3" s="130" t="n"/>
      <c r="G3" s="131" t="n"/>
      <c r="H3" s="131" t="n"/>
      <c r="I3" s="131" t="n"/>
      <c r="J3" s="130" t="n"/>
      <c r="K3" s="131" t="n"/>
      <c r="L3" s="131" t="n"/>
      <c r="M3" s="131" t="n"/>
      <c r="N3" s="132" t="n">
        <v>5</v>
      </c>
      <c r="O3" s="132" t="n">
        <v>12</v>
      </c>
      <c r="P3" s="132" t="n">
        <v>19</v>
      </c>
      <c r="Q3" s="132" t="n">
        <v>26</v>
      </c>
      <c r="R3" s="133" t="n"/>
      <c r="S3" s="133" t="n"/>
      <c r="T3" s="133" t="n"/>
      <c r="U3" s="133" t="n"/>
      <c r="V3" s="133" t="n"/>
      <c r="W3" s="133" t="n"/>
      <c r="X3" s="133" t="n"/>
      <c r="Y3" s="133" t="n"/>
      <c r="Z3" s="133" t="n"/>
      <c r="AA3" s="133" t="n"/>
      <c r="AB3" s="133" t="n"/>
      <c r="AC3" s="133" t="n"/>
      <c r="AD3" s="133" t="n"/>
      <c r="AE3" s="133" t="n"/>
      <c r="AF3" s="133" t="n"/>
      <c r="AG3" s="133" t="n"/>
      <c r="AH3" s="133" t="n"/>
      <c r="AI3" s="133" t="n"/>
      <c r="AJ3" s="133" t="n"/>
      <c r="AK3" s="133" t="n"/>
      <c r="AL3" s="133" t="n"/>
      <c r="AM3" s="133" t="n"/>
      <c r="AN3" s="133" t="n"/>
      <c r="AO3" s="133" t="n"/>
      <c r="AP3" s="133" t="n"/>
      <c r="AQ3" s="133" t="n"/>
      <c r="AR3" s="133" t="n"/>
      <c r="AS3" s="133" t="n"/>
      <c r="AT3" s="133" t="n"/>
      <c r="AU3" s="133" t="n"/>
      <c r="AV3" s="133" t="n"/>
      <c r="AW3" s="133" t="n"/>
      <c r="AX3" s="133" t="n"/>
      <c r="AY3" s="133" t="n"/>
      <c r="AZ3" s="133" t="n"/>
      <c r="BA3" s="133" t="n"/>
      <c r="BB3" s="133" t="n"/>
      <c r="BC3" s="133" t="n"/>
      <c r="BD3" s="133" t="n"/>
      <c r="BE3" s="133" t="n"/>
      <c r="BF3" s="133" t="n"/>
      <c r="BG3" s="133" t="n"/>
      <c r="BH3" s="133" t="n"/>
      <c r="BI3" s="199" t="n"/>
      <c r="BJ3" s="59" t="n"/>
      <c r="BK3" s="60" t="n"/>
      <c r="BL3" s="60" t="n"/>
      <c r="BM3" s="60" t="n"/>
      <c r="BN3" s="60" t="n"/>
      <c r="BO3" s="60" t="n"/>
      <c r="BP3" s="60" t="n"/>
      <c r="BQ3" s="61" t="n"/>
    </row>
    <row r="4" ht="18" customHeight="1">
      <c r="A4" s="181" t="inlineStr">
        <is>
          <t>E. Raude</t>
        </is>
      </c>
      <c r="B4" s="180" t="n"/>
      <c r="F4" s="180" t="n"/>
      <c r="J4" s="180" t="n"/>
      <c r="N4" s="180" t="n"/>
      <c r="R4" s="180" t="n"/>
      <c r="V4" s="180" t="n"/>
      <c r="Z4" s="180" t="n"/>
      <c r="AD4" s="180" t="n"/>
      <c r="AH4" s="180" t="n"/>
      <c r="AL4" s="180" t="n"/>
      <c r="AP4" s="180" t="n"/>
      <c r="AT4" s="180" t="n"/>
      <c r="AX4" s="180" t="n"/>
      <c r="BB4" s="180" t="n"/>
      <c r="BF4" s="905" t="n"/>
      <c r="BJ4" s="857" t="inlineStr">
        <is>
          <t>Campagne Terminée - Annonce découverte et poursuite en S1/2015 - Départ 06/2014 des équipes sur place.</t>
        </is>
      </c>
      <c r="BK4" s="1008" t="n"/>
      <c r="BL4" s="1008" t="n"/>
      <c r="BM4" s="1008" t="n"/>
      <c r="BN4" s="1008" t="n"/>
      <c r="BO4" s="1008" t="n"/>
      <c r="BP4" s="1008" t="n"/>
      <c r="BQ4" s="155" t="n"/>
    </row>
    <row r="5" ht="18" customFormat="1" customHeight="1" s="184">
      <c r="A5" s="182" t="n"/>
      <c r="B5" s="183" t="n"/>
      <c r="F5" s="183" t="n"/>
      <c r="J5" s="183" t="n"/>
      <c r="N5" s="183" t="n"/>
      <c r="P5" s="185" t="n"/>
      <c r="R5" s="183" t="n"/>
      <c r="V5" s="183" t="n"/>
      <c r="Z5" s="183" t="n"/>
      <c r="AD5" s="183" t="n"/>
      <c r="AH5" s="183" t="n"/>
      <c r="AL5" s="183" t="n"/>
      <c r="AP5" s="183" t="n"/>
      <c r="AT5" s="183" t="n"/>
      <c r="AX5" s="183" t="n"/>
      <c r="BB5" s="183" t="n"/>
      <c r="BF5" s="1010" t="n"/>
      <c r="BJ5" s="57" t="n"/>
      <c r="BQ5" s="1011" t="n"/>
    </row>
    <row r="6" ht="18" customFormat="1" customHeight="1" s="184">
      <c r="A6" s="186" t="inlineStr">
        <is>
          <t>TEPCI</t>
        </is>
      </c>
      <c r="B6" s="183" t="n"/>
      <c r="F6" s="183" t="n"/>
      <c r="J6" s="183" t="n"/>
      <c r="N6" s="183" t="n"/>
      <c r="R6" s="183" t="n"/>
      <c r="V6" s="183" t="n"/>
      <c r="Z6" s="183" t="n"/>
      <c r="AD6" s="183" t="n"/>
      <c r="AH6" s="183" t="n"/>
      <c r="AL6" s="183" t="n"/>
      <c r="AP6" s="183" t="n"/>
      <c r="AT6" s="183" t="n"/>
      <c r="AX6" s="183" t="n"/>
      <c r="BB6" s="183" t="n"/>
      <c r="BF6" s="1012" t="n"/>
      <c r="BG6" s="1004" t="n"/>
      <c r="BH6" s="1004" t="n"/>
      <c r="BI6" s="1004" t="n"/>
      <c r="BJ6" s="1013" t="n"/>
      <c r="BK6" s="1004" t="n"/>
      <c r="BL6" s="1004" t="n"/>
      <c r="BM6" s="1004" t="n"/>
      <c r="BN6" s="1004" t="n"/>
      <c r="BO6" s="1004" t="n"/>
      <c r="BP6" s="1004" t="n"/>
      <c r="BQ6" s="1005" t="n"/>
    </row>
    <row r="7" ht="18" customHeight="1">
      <c r="A7" s="181" t="inlineStr">
        <is>
          <t xml:space="preserve">West Leo </t>
        </is>
      </c>
      <c r="B7" s="180" t="n"/>
      <c r="F7" s="180" t="n"/>
      <c r="J7" s="180" t="n"/>
      <c r="N7" s="187" t="n"/>
      <c r="O7" s="188" t="n"/>
      <c r="P7" s="188" t="n"/>
      <c r="Q7" s="188" t="n"/>
      <c r="R7" s="187" t="n"/>
      <c r="S7" s="188" t="n"/>
      <c r="T7" s="188" t="n"/>
      <c r="U7" s="188" t="n"/>
      <c r="V7" s="187" t="n"/>
      <c r="W7" s="188" t="n"/>
      <c r="X7" s="188" t="n"/>
      <c r="Y7" s="188" t="n"/>
      <c r="Z7" s="187" t="n"/>
      <c r="AA7" s="188" t="n"/>
      <c r="AB7" s="188" t="n"/>
      <c r="AC7" s="188" t="n"/>
      <c r="AD7" s="187" t="n"/>
      <c r="AE7" s="188" t="n"/>
      <c r="AF7" s="188" t="n"/>
      <c r="AG7" s="188" t="n"/>
      <c r="AH7" s="187" t="n"/>
      <c r="AI7" s="188" t="n"/>
      <c r="AJ7" s="188" t="n"/>
      <c r="AK7" s="188" t="n"/>
      <c r="AL7" s="187" t="n"/>
      <c r="AM7" s="188" t="n"/>
      <c r="AN7" s="188" t="n"/>
      <c r="AO7" s="188" t="n"/>
      <c r="AP7" s="187" t="n"/>
      <c r="AQ7" s="188" t="n"/>
      <c r="AR7" s="188" t="n"/>
      <c r="AS7" s="188" t="n"/>
      <c r="AT7" s="187" t="n"/>
      <c r="AU7" s="188" t="n"/>
      <c r="AV7" s="188" t="n"/>
      <c r="AW7" s="188" t="n"/>
      <c r="AX7" s="187" t="n"/>
      <c r="AY7" s="188" t="n"/>
      <c r="AZ7" s="188" t="n"/>
      <c r="BA7" s="188" t="n"/>
      <c r="BB7" s="187" t="n"/>
      <c r="BC7" s="188" t="n"/>
      <c r="BD7" s="188" t="n"/>
      <c r="BE7" s="188" t="n"/>
      <c r="BF7" s="187" t="n"/>
      <c r="BG7" s="188" t="n"/>
      <c r="BH7" s="188" t="n"/>
      <c r="BI7" s="188" t="n"/>
      <c r="BJ7" s="860" t="inlineStr">
        <is>
          <t xml:space="preserve">Cas de Force majeure / Campagne en suspend suite enquête US DoJ </t>
        </is>
      </c>
      <c r="BK7" s="1014" t="n"/>
      <c r="BL7" s="1014" t="n"/>
      <c r="BM7" s="1014" t="n"/>
      <c r="BN7" s="1014" t="n"/>
      <c r="BO7" s="1014" t="n"/>
      <c r="BP7" s="1014" t="n"/>
      <c r="BQ7" s="147" t="n"/>
    </row>
    <row r="8" ht="18" customFormat="1" customHeight="1" s="184">
      <c r="A8" s="182" t="n"/>
      <c r="B8" s="183" t="n"/>
      <c r="F8" s="183" t="n"/>
      <c r="J8" s="183" t="n"/>
      <c r="N8" s="183" t="n"/>
      <c r="R8" s="183" t="n"/>
      <c r="V8" s="183" t="n"/>
      <c r="Z8" s="183" t="n"/>
      <c r="AD8" s="183" t="n"/>
      <c r="AH8" s="183" t="n"/>
      <c r="AL8" s="183" t="n"/>
      <c r="AP8" s="183" t="n"/>
      <c r="AT8" s="183" t="n"/>
      <c r="AX8" s="183" t="n"/>
      <c r="BB8" s="183" t="n"/>
      <c r="BF8" s="183" t="n"/>
      <c r="BJ8" s="57" t="n"/>
      <c r="BQ8" s="1011" t="n"/>
    </row>
    <row r="9" ht="18" customFormat="1" customHeight="1" s="184">
      <c r="A9" s="186" t="inlineStr">
        <is>
          <t>Tullow Guinea</t>
        </is>
      </c>
      <c r="B9" s="183" t="n"/>
      <c r="F9" s="183" t="n"/>
      <c r="J9" s="183" t="n"/>
      <c r="N9" s="189" t="n"/>
      <c r="O9" s="190" t="n"/>
      <c r="P9" s="190" t="n"/>
      <c r="Q9" s="190" t="n"/>
      <c r="R9" s="189" t="n"/>
      <c r="S9" s="190" t="n"/>
      <c r="T9" s="190" t="n"/>
      <c r="U9" s="190" t="n"/>
      <c r="V9" s="189" t="n"/>
      <c r="W9" s="190" t="n"/>
      <c r="X9" s="190" t="n"/>
      <c r="Y9" s="190" t="n"/>
      <c r="Z9" s="189" t="n"/>
      <c r="AA9" s="190" t="n"/>
      <c r="AB9" s="190" t="n"/>
      <c r="AC9" s="190" t="n"/>
      <c r="AD9" s="189" t="n"/>
      <c r="AE9" s="190" t="n"/>
      <c r="AF9" s="190" t="n"/>
      <c r="AG9" s="190" t="n"/>
      <c r="AH9" s="189" t="n"/>
      <c r="AI9" s="190" t="n"/>
      <c r="AJ9" s="190" t="n"/>
      <c r="AK9" s="190" t="n"/>
      <c r="AL9" s="189" t="n"/>
      <c r="AM9" s="190" t="n"/>
      <c r="AN9" s="190" t="n"/>
      <c r="AO9" s="190" t="n"/>
      <c r="AP9" s="189" t="n"/>
      <c r="AQ9" s="190" t="n"/>
      <c r="AR9" s="190" t="n"/>
      <c r="AS9" s="190" t="n"/>
      <c r="AT9" s="189" t="n"/>
      <c r="AU9" s="190" t="n"/>
      <c r="AV9" s="190" t="n"/>
      <c r="AW9" s="190" t="n"/>
      <c r="AX9" s="189" t="n"/>
      <c r="AY9" s="190" t="n"/>
      <c r="AZ9" s="190" t="n"/>
      <c r="BA9" s="190" t="n"/>
      <c r="BB9" s="189" t="n"/>
      <c r="BC9" s="190" t="n"/>
      <c r="BD9" s="190" t="n"/>
      <c r="BE9" s="190" t="n"/>
      <c r="BF9" s="189" t="n"/>
      <c r="BG9" s="190" t="n"/>
      <c r="BH9" s="190" t="n"/>
      <c r="BI9" s="190" t="n"/>
      <c r="BJ9" s="1013" t="n"/>
      <c r="BK9" s="1004" t="n"/>
      <c r="BL9" s="1004" t="n"/>
      <c r="BM9" s="1004" t="n"/>
      <c r="BN9" s="1004" t="n"/>
      <c r="BO9" s="1004" t="n"/>
      <c r="BP9" s="1004" t="n"/>
      <c r="BQ9" s="1005" t="n"/>
    </row>
    <row r="10" ht="18" customHeight="1">
      <c r="A10" s="191" t="inlineStr">
        <is>
          <t>New Rig - Espoir</t>
        </is>
      </c>
      <c r="B10" s="180" t="n"/>
      <c r="F10" s="180" t="n"/>
      <c r="J10" s="180" t="n"/>
      <c r="N10" s="187" t="n"/>
      <c r="O10" s="188" t="n"/>
      <c r="P10" s="188" t="n"/>
      <c r="Q10" s="188" t="n"/>
      <c r="R10" s="187" t="n"/>
      <c r="S10" s="188" t="n"/>
      <c r="T10" s="188" t="n"/>
      <c r="U10" s="188" t="n"/>
      <c r="V10" s="187" t="n"/>
      <c r="W10" s="188" t="n"/>
      <c r="X10" s="188" t="n"/>
      <c r="Y10" s="188" t="n"/>
      <c r="Z10" s="187" t="n"/>
      <c r="AA10" s="188" t="n"/>
      <c r="AB10" s="188" t="n"/>
      <c r="AC10" s="188" t="n"/>
      <c r="AD10" s="187" t="n"/>
      <c r="AE10" s="188" t="n"/>
      <c r="AF10" s="188" t="n"/>
      <c r="AG10" s="188" t="n"/>
      <c r="AH10" s="187" t="n"/>
      <c r="AI10" s="188" t="n"/>
      <c r="AJ10" s="188" t="n"/>
      <c r="AK10" s="188" t="n"/>
      <c r="AL10" s="187" t="n"/>
      <c r="AM10" s="188" t="n"/>
      <c r="AN10" s="188" t="n"/>
      <c r="AO10" s="188" t="n"/>
      <c r="AP10" s="187" t="n"/>
      <c r="AQ10" s="188" t="n"/>
      <c r="AR10" s="188" t="n"/>
      <c r="AS10" s="188" t="n"/>
      <c r="AT10" s="187" t="n"/>
      <c r="AU10" s="188" t="n"/>
      <c r="AV10" s="188" t="n"/>
      <c r="AW10" s="188" t="n"/>
      <c r="AX10" s="187" t="n"/>
      <c r="AY10" s="188" t="n"/>
      <c r="AZ10" s="188" t="n"/>
      <c r="BA10" s="188" t="n"/>
      <c r="BB10" s="187" t="n"/>
      <c r="BC10" s="188" t="n"/>
      <c r="BD10" s="188" t="n"/>
      <c r="BE10" s="188" t="n"/>
      <c r="BF10" s="187" t="n"/>
      <c r="BG10" s="188" t="n"/>
      <c r="BH10" s="188" t="n"/>
      <c r="BI10" s="188" t="n"/>
      <c r="BJ10" s="860" t="inlineStr">
        <is>
          <t>Rencontre faites avec SK-Drilling (Contact : Eoin Christie). Rig prévu arrivée en juin 2014 - Manutention démarre 08/2014 avec équipes dédiées</t>
        </is>
      </c>
      <c r="BK10" s="1014" t="n"/>
      <c r="BL10" s="1014" t="n"/>
      <c r="BM10" s="1014" t="n"/>
      <c r="BN10" s="1014" t="n"/>
      <c r="BO10" s="1014" t="n"/>
      <c r="BP10" s="1014" t="n"/>
      <c r="BQ10" s="147" t="n"/>
    </row>
    <row r="11" ht="18" customFormat="1" customHeight="1" s="184">
      <c r="A11" s="192" t="n"/>
      <c r="B11" s="183" t="n"/>
      <c r="F11" s="183" t="n"/>
      <c r="J11" s="183" t="n"/>
      <c r="N11" s="183" t="n"/>
      <c r="R11" s="183" t="n"/>
      <c r="V11" s="183" t="n"/>
      <c r="Z11" s="183" t="n"/>
      <c r="AD11" s="183" t="n"/>
      <c r="AH11" s="183" t="n"/>
      <c r="AL11" s="183" t="n"/>
      <c r="AP11" s="183" t="n"/>
      <c r="AT11" s="183" t="n"/>
      <c r="AX11" s="183" t="n"/>
      <c r="BB11" s="183" t="n"/>
      <c r="BF11" s="183" t="n"/>
      <c r="BJ11" s="57" t="n"/>
      <c r="BQ11" s="1011" t="n"/>
    </row>
    <row r="12" ht="18" customFormat="1" customHeight="1" s="184">
      <c r="A12" s="193" t="inlineStr">
        <is>
          <t>CNR</t>
        </is>
      </c>
      <c r="B12" s="183" t="n"/>
      <c r="F12" s="183" t="n"/>
      <c r="J12" s="183" t="n"/>
      <c r="N12" s="189" t="n"/>
      <c r="O12" s="190" t="n"/>
      <c r="P12" s="190" t="n"/>
      <c r="Q12" s="190" t="n"/>
      <c r="R12" s="189" t="n"/>
      <c r="S12" s="190" t="n"/>
      <c r="T12" s="190" t="n"/>
      <c r="U12" s="190" t="n"/>
      <c r="V12" s="189" t="n"/>
      <c r="W12" s="190" t="n"/>
      <c r="X12" s="190" t="n"/>
      <c r="Y12" s="190" t="n"/>
      <c r="Z12" s="189" t="n"/>
      <c r="AA12" s="190" t="n"/>
      <c r="AB12" s="190" t="n"/>
      <c r="AC12" s="190" t="n"/>
      <c r="AD12" s="189" t="n"/>
      <c r="AE12" s="190" t="n"/>
      <c r="AF12" s="190" t="n"/>
      <c r="AG12" s="190" t="n"/>
      <c r="AH12" s="189" t="n"/>
      <c r="AI12" s="190" t="n"/>
      <c r="AJ12" s="190" t="n"/>
      <c r="AK12" s="190" t="n"/>
      <c r="AL12" s="189" t="n"/>
      <c r="AM12" s="190" t="n"/>
      <c r="AN12" s="190" t="n"/>
      <c r="AO12" s="190" t="n"/>
      <c r="AP12" s="189" t="n"/>
      <c r="AQ12" s="190" t="n"/>
      <c r="AR12" s="190" t="n"/>
      <c r="AS12" s="190" t="n"/>
      <c r="AT12" s="189" t="n"/>
      <c r="AU12" s="190" t="n"/>
      <c r="AV12" s="190" t="n"/>
      <c r="AW12" s="190" t="n"/>
      <c r="AX12" s="189" t="n"/>
      <c r="AY12" s="190" t="n"/>
      <c r="AZ12" s="190" t="n"/>
      <c r="BA12" s="190" t="n"/>
      <c r="BB12" s="189" t="n"/>
      <c r="BC12" s="190" t="n"/>
      <c r="BD12" s="190" t="n"/>
      <c r="BE12" s="190" t="n"/>
      <c r="BF12" s="189" t="n"/>
      <c r="BG12" s="190" t="n"/>
      <c r="BH12" s="190" t="n"/>
      <c r="BI12" s="190" t="n"/>
      <c r="BJ12" s="1013" t="n"/>
      <c r="BK12" s="1004" t="n"/>
      <c r="BL12" s="1004" t="n"/>
      <c r="BM12" s="1004" t="n"/>
      <c r="BN12" s="1004" t="n"/>
      <c r="BO12" s="1004" t="n"/>
      <c r="BP12" s="1004" t="n"/>
      <c r="BQ12" s="1005" t="n"/>
    </row>
    <row r="13" ht="18" customHeight="1">
      <c r="A13" s="191" t="inlineStr">
        <is>
          <t>New Rig - Baobab</t>
        </is>
      </c>
      <c r="B13" s="180" t="n"/>
      <c r="F13" s="180" t="n"/>
      <c r="J13" s="180" t="n"/>
      <c r="N13" s="180" t="n"/>
      <c r="R13" s="180" t="n"/>
      <c r="V13" s="180" t="n"/>
      <c r="Z13" s="180" t="n"/>
      <c r="AD13" s="180" t="n"/>
      <c r="AH13" s="180" t="n"/>
      <c r="AL13" s="180" t="n"/>
      <c r="AP13" s="180" t="n"/>
      <c r="AT13" s="180" t="n"/>
      <c r="AX13" s="180" t="n"/>
      <c r="BB13" s="180" t="n"/>
      <c r="BF13" s="180" t="n"/>
      <c r="BJ13" s="860" t="n"/>
      <c r="BK13" s="1014" t="n"/>
      <c r="BL13" s="1014" t="n"/>
      <c r="BM13" s="1014" t="n"/>
      <c r="BN13" s="1014" t="n"/>
      <c r="BO13" s="1014" t="n"/>
      <c r="BP13" s="1014" t="n"/>
      <c r="BQ13" s="147" t="n"/>
    </row>
    <row r="14" ht="18" customFormat="1" customHeight="1" s="184">
      <c r="A14" s="192" t="n"/>
      <c r="B14" s="183" t="n"/>
      <c r="F14" s="183" t="n"/>
      <c r="J14" s="183" t="n"/>
      <c r="N14" s="183" t="n"/>
      <c r="R14" s="183" t="n"/>
      <c r="V14" s="183" t="n"/>
      <c r="Z14" s="183" t="n"/>
      <c r="AD14" s="183" t="n"/>
      <c r="AH14" s="183" t="n"/>
      <c r="AL14" s="183" t="n"/>
      <c r="AP14" s="183" t="n"/>
      <c r="AT14" s="183" t="n"/>
      <c r="AX14" s="183" t="n"/>
      <c r="BB14" s="183" t="n"/>
      <c r="BF14" s="183" t="n"/>
      <c r="BJ14" s="57" t="n"/>
      <c r="BQ14" s="1011" t="n"/>
    </row>
    <row r="15" ht="18" customFormat="1" customHeight="1" s="184">
      <c r="A15" s="193" t="inlineStr">
        <is>
          <t>CNR</t>
        </is>
      </c>
      <c r="B15" s="183" t="n"/>
      <c r="F15" s="183" t="n"/>
      <c r="J15" s="183" t="n"/>
      <c r="N15" s="183" t="n"/>
      <c r="R15" s="183" t="n"/>
      <c r="V15" s="183" t="n"/>
      <c r="Z15" s="183" t="n"/>
      <c r="AD15" s="183" t="n"/>
      <c r="AH15" s="183" t="n"/>
      <c r="AL15" s="183" t="n"/>
      <c r="AP15" s="183" t="n"/>
      <c r="AT15" s="183" t="n"/>
      <c r="AX15" s="183" t="n"/>
      <c r="BB15" s="183" t="n"/>
      <c r="BF15" s="183" t="n"/>
      <c r="BJ15" s="1013" t="n"/>
      <c r="BK15" s="1004" t="n"/>
      <c r="BL15" s="1004" t="n"/>
      <c r="BM15" s="1004" t="n"/>
      <c r="BN15" s="1004" t="n"/>
      <c r="BO15" s="1004" t="n"/>
      <c r="BP15" s="1004" t="n"/>
      <c r="BQ15" s="1005" t="n"/>
    </row>
    <row r="16" ht="18" customFormat="1" customHeight="1" s="184">
      <c r="A16" s="194" t="inlineStr">
        <is>
          <t>B. Dolphin</t>
        </is>
      </c>
      <c r="B16" s="195" t="n"/>
      <c r="C16" s="196" t="n"/>
      <c r="D16" s="196" t="n"/>
      <c r="E16" s="196" t="n"/>
      <c r="F16" s="195" t="n"/>
      <c r="G16" s="196" t="n"/>
      <c r="H16" s="196" t="n"/>
      <c r="I16" s="196" t="n"/>
      <c r="J16" s="195" t="n"/>
      <c r="K16" s="196" t="n"/>
      <c r="L16" s="196" t="n"/>
      <c r="M16" s="196" t="n"/>
      <c r="N16" s="195" t="n"/>
      <c r="O16" s="196" t="n"/>
      <c r="P16" s="196" t="n"/>
      <c r="Q16" s="196" t="n"/>
      <c r="R16" s="195" t="n"/>
      <c r="S16" s="196" t="n"/>
      <c r="T16" s="196" t="n"/>
      <c r="U16" s="196" t="n"/>
      <c r="V16" s="195" t="n"/>
      <c r="W16" s="196" t="n"/>
      <c r="X16" s="196" t="n"/>
      <c r="Y16" s="196" t="n"/>
      <c r="Z16" s="195" t="n"/>
      <c r="AA16" s="196" t="n"/>
      <c r="AB16" s="196" t="n"/>
      <c r="AC16" s="196" t="n"/>
      <c r="AD16" s="195" t="n"/>
      <c r="AE16" s="196" t="n"/>
      <c r="AF16" s="196" t="n"/>
      <c r="AG16" s="196" t="n"/>
      <c r="AH16" s="195" t="n"/>
      <c r="AI16" s="196" t="n"/>
      <c r="AJ16" s="196" t="n"/>
      <c r="AK16" s="196" t="n"/>
      <c r="AL16" s="195" t="n"/>
      <c r="AM16" s="196" t="n"/>
      <c r="AN16" s="196" t="n"/>
      <c r="AO16" s="196" t="n"/>
      <c r="AP16" s="195" t="n"/>
      <c r="AQ16" s="196" t="n"/>
      <c r="AR16" s="196" t="n"/>
      <c r="AS16" s="196" t="n"/>
      <c r="AT16" s="195" t="n"/>
      <c r="AU16" s="196" t="n"/>
      <c r="AV16" s="196" t="n"/>
      <c r="AW16" s="196" t="n"/>
      <c r="AX16" s="195" t="n"/>
      <c r="AY16" s="196" t="n"/>
      <c r="AZ16" s="196" t="n"/>
      <c r="BA16" s="196" t="n"/>
      <c r="BB16" s="195" t="n"/>
      <c r="BC16" s="196" t="n"/>
      <c r="BD16" s="196" t="n"/>
      <c r="BE16" s="196" t="n"/>
      <c r="BF16" s="195" t="n"/>
      <c r="BG16" s="196" t="n"/>
      <c r="BH16" s="196" t="n"/>
      <c r="BI16" s="196" t="n"/>
      <c r="BJ16" s="860" t="n"/>
      <c r="BK16" s="1014" t="n"/>
      <c r="BL16" s="1014" t="n"/>
      <c r="BM16" s="1014" t="n"/>
      <c r="BN16" s="1014" t="n"/>
      <c r="BO16" s="1014" t="n"/>
      <c r="BP16" s="1014" t="n"/>
      <c r="BQ16" s="147" t="n"/>
    </row>
    <row r="17" ht="18" customFormat="1" customHeight="1" s="184">
      <c r="A17" s="182" t="n"/>
      <c r="B17" s="183" t="n"/>
      <c r="F17" s="183" t="n"/>
      <c r="J17" s="183" t="n"/>
      <c r="N17" s="183" t="n"/>
      <c r="R17" s="183" t="n"/>
      <c r="V17" s="183" t="n"/>
      <c r="Z17" s="183" t="n"/>
      <c r="AD17" s="183" t="n"/>
      <c r="AH17" s="183" t="n"/>
      <c r="AL17" s="183" t="n"/>
      <c r="AP17" s="183" t="n"/>
      <c r="AT17" s="183" t="n"/>
      <c r="AX17" s="183" t="n"/>
      <c r="BB17" s="183" t="n"/>
      <c r="BF17" s="183" t="n"/>
      <c r="BJ17" s="57" t="n"/>
      <c r="BQ17" s="1011" t="n"/>
    </row>
    <row r="18" ht="18" customFormat="1" customHeight="1" s="184">
      <c r="A18" s="186" t="inlineStr">
        <is>
          <t>Anadarko</t>
        </is>
      </c>
      <c r="B18" s="189" t="n"/>
      <c r="C18" s="190" t="n"/>
      <c r="D18" s="190" t="n"/>
      <c r="E18" s="190" t="n"/>
      <c r="F18" s="189" t="n"/>
      <c r="G18" s="190" t="n"/>
      <c r="H18" s="190" t="n"/>
      <c r="I18" s="190" t="n"/>
      <c r="J18" s="189" t="n"/>
      <c r="K18" s="190" t="n"/>
      <c r="L18" s="190" t="n"/>
      <c r="M18" s="190" t="n"/>
      <c r="N18" s="189" t="n"/>
      <c r="O18" s="190" t="n"/>
      <c r="P18" s="190" t="n"/>
      <c r="Q18" s="190" t="n"/>
      <c r="R18" s="189" t="n"/>
      <c r="S18" s="190" t="n"/>
      <c r="T18" s="190" t="n"/>
      <c r="U18" s="190" t="n"/>
      <c r="V18" s="189" t="n"/>
      <c r="W18" s="190" t="n"/>
      <c r="X18" s="190" t="n"/>
      <c r="Y18" s="190" t="n"/>
      <c r="Z18" s="189" t="n"/>
      <c r="AA18" s="190" t="n"/>
      <c r="AB18" s="190" t="n"/>
      <c r="AC18" s="190" t="n"/>
      <c r="AD18" s="189" t="n"/>
      <c r="AE18" s="190" t="n"/>
      <c r="AF18" s="190" t="n"/>
      <c r="AG18" s="190" t="n"/>
      <c r="AH18" s="189" t="n"/>
      <c r="AI18" s="190" t="n"/>
      <c r="AJ18" s="190" t="n"/>
      <c r="AK18" s="190" t="n"/>
      <c r="AL18" s="189" t="n"/>
      <c r="AM18" s="190" t="n"/>
      <c r="AN18" s="190" t="n"/>
      <c r="AO18" s="190" t="n"/>
      <c r="AP18" s="189" t="n"/>
      <c r="AQ18" s="190" t="n"/>
      <c r="AR18" s="190" t="n"/>
      <c r="AS18" s="190" t="n"/>
      <c r="AT18" s="189" t="n"/>
      <c r="AU18" s="190" t="n"/>
      <c r="AV18" s="190" t="n"/>
      <c r="AW18" s="190" t="n"/>
      <c r="AX18" s="189" t="n"/>
      <c r="AY18" s="190" t="n"/>
      <c r="AZ18" s="190" t="n"/>
      <c r="BA18" s="190" t="n"/>
      <c r="BB18" s="189" t="n"/>
      <c r="BC18" s="190" t="n"/>
      <c r="BD18" s="190" t="n"/>
      <c r="BE18" s="190" t="n"/>
      <c r="BF18" s="189" t="n"/>
      <c r="BG18" s="190" t="n"/>
      <c r="BH18" s="190" t="n"/>
      <c r="BI18" s="190" t="n"/>
      <c r="BJ18" s="1013" t="n"/>
      <c r="BK18" s="1004" t="n"/>
      <c r="BL18" s="1004" t="n"/>
      <c r="BM18" s="1004" t="n"/>
      <c r="BN18" s="1004" t="n"/>
      <c r="BO18" s="1004" t="n"/>
      <c r="BP18" s="1004" t="n"/>
      <c r="BQ18" s="1005" t="n"/>
    </row>
    <row r="19" ht="18" customFormat="1" customHeight="1" s="184">
      <c r="A19" s="182" t="n"/>
      <c r="B19" s="183" t="n"/>
      <c r="F19" s="183" t="n"/>
      <c r="J19" s="183" t="n"/>
      <c r="N19" s="183" t="n"/>
      <c r="R19" s="183" t="n"/>
      <c r="V19" s="183" t="n"/>
      <c r="Z19" s="183" t="n"/>
      <c r="AD19" s="183" t="n"/>
      <c r="AH19" s="183" t="n"/>
      <c r="AL19" s="183" t="n"/>
      <c r="AP19" s="183" t="n"/>
      <c r="AT19" s="183" t="n"/>
      <c r="AX19" s="183" t="n"/>
      <c r="BB19" s="183" t="n"/>
      <c r="BF19" s="183" t="n"/>
      <c r="BJ19" s="860" t="inlineStr">
        <is>
          <t>Annonce du retrait de l'appel d'offre - Situation du projet inconnu.</t>
        </is>
      </c>
      <c r="BK19" s="1014" t="n"/>
      <c r="BL19" s="1014" t="n"/>
      <c r="BM19" s="1014" t="n"/>
      <c r="BN19" s="1014" t="n"/>
      <c r="BO19" s="1014" t="n"/>
      <c r="BP19" s="1014" t="n"/>
      <c r="BQ19" s="147" t="n"/>
    </row>
    <row r="20" ht="18" customFormat="1" customHeight="1" s="184">
      <c r="A20" s="182" t="inlineStr">
        <is>
          <t>E. Raude - VTO</t>
        </is>
      </c>
      <c r="B20" s="183" t="n"/>
      <c r="F20" s="183" t="n"/>
      <c r="J20" s="183" t="n"/>
      <c r="N20" s="183" t="n"/>
      <c r="R20" s="183" t="n"/>
      <c r="V20" s="183" t="n"/>
      <c r="Z20" s="183" t="n"/>
      <c r="AD20" s="183" t="n"/>
      <c r="AH20" s="183" t="n"/>
      <c r="AL20" s="183" t="n"/>
      <c r="AP20" s="183" t="n"/>
      <c r="AT20" s="183" t="n"/>
      <c r="AX20" s="183" t="n"/>
      <c r="BB20" s="183" t="n"/>
      <c r="BF20" s="183" t="n"/>
      <c r="BJ20" s="57" t="n"/>
      <c r="BQ20" s="1011" t="n"/>
    </row>
    <row r="21" ht="18" customFormat="1" customHeight="1" s="184">
      <c r="A21" s="182" t="n"/>
      <c r="B21" s="183" t="n"/>
      <c r="F21" s="183" t="n"/>
      <c r="J21" s="183" t="n"/>
      <c r="N21" s="183" t="n"/>
      <c r="R21" s="183" t="n"/>
      <c r="V21" s="183" t="n"/>
      <c r="Z21" s="183" t="n"/>
      <c r="AD21" s="183" t="n"/>
      <c r="AH21" s="183" t="n"/>
      <c r="AL21" s="183" t="n"/>
      <c r="AP21" s="183" t="n"/>
      <c r="AT21" s="183" t="n"/>
      <c r="AX21" s="183" t="n"/>
      <c r="BB21" s="183" t="n"/>
      <c r="BF21" s="183" t="n"/>
      <c r="BJ21" s="1013" t="n"/>
      <c r="BK21" s="1004" t="n"/>
      <c r="BL21" s="1004" t="n"/>
      <c r="BM21" s="1004" t="n"/>
      <c r="BN21" s="1004" t="n"/>
      <c r="BO21" s="1004" t="n"/>
      <c r="BP21" s="1004" t="n"/>
      <c r="BQ21" s="1005" t="n"/>
    </row>
    <row r="22" ht="18" customFormat="1" customHeight="1" s="184">
      <c r="A22" s="181" t="inlineStr">
        <is>
          <t>Foxtrot Rig</t>
        </is>
      </c>
      <c r="B22" s="187" t="n"/>
      <c r="C22" s="188" t="n"/>
      <c r="D22" s="188" t="n"/>
      <c r="E22" s="188" t="n"/>
      <c r="F22" s="187" t="n"/>
      <c r="G22" s="188" t="n"/>
      <c r="H22" s="188" t="n"/>
      <c r="I22" s="188" t="n"/>
      <c r="J22" s="187" t="n"/>
      <c r="K22" s="188" t="n"/>
      <c r="L22" s="188" t="n"/>
      <c r="M22" s="188" t="n"/>
      <c r="N22" s="187" t="n"/>
      <c r="O22" s="188" t="n"/>
      <c r="P22" s="188" t="n"/>
      <c r="Q22" s="188" t="n"/>
      <c r="R22" s="187" t="n"/>
      <c r="S22" s="188" t="n"/>
      <c r="T22" s="188" t="n"/>
      <c r="U22" s="188" t="n"/>
      <c r="V22" s="187" t="n"/>
      <c r="W22" s="188" t="n"/>
      <c r="X22" s="188" t="n"/>
      <c r="Y22" s="188" t="n"/>
      <c r="Z22" s="187" t="n"/>
      <c r="AA22" s="188" t="n"/>
      <c r="AB22" s="188" t="n"/>
      <c r="AC22" s="188" t="n"/>
      <c r="AD22" s="187" t="n"/>
      <c r="AE22" s="188" t="n"/>
      <c r="AF22" s="188" t="n"/>
      <c r="AG22" s="188" t="n"/>
      <c r="AH22" s="187" t="n"/>
      <c r="AI22" s="188" t="n"/>
      <c r="AJ22" s="188" t="n"/>
      <c r="AK22" s="188" t="n"/>
      <c r="AL22" s="187" t="n"/>
      <c r="AM22" s="188" t="n"/>
      <c r="AN22" s="188" t="n"/>
      <c r="AO22" s="188" t="n"/>
      <c r="AP22" s="187" t="n"/>
      <c r="AQ22" s="188" t="n"/>
      <c r="AR22" s="188" t="n"/>
      <c r="AS22" s="188" t="n"/>
      <c r="AT22" s="187" t="n"/>
      <c r="AU22" s="188" t="n"/>
      <c r="AV22" s="188" t="n"/>
      <c r="AW22" s="188" t="n"/>
      <c r="AX22" s="187" t="n"/>
      <c r="AY22" s="188" t="n"/>
      <c r="AZ22" s="188" t="n"/>
      <c r="BA22" s="188" t="n"/>
      <c r="BB22" s="187" t="n"/>
      <c r="BC22" s="188" t="n"/>
      <c r="BD22" s="188" t="n"/>
      <c r="BE22" s="188" t="n"/>
      <c r="BF22" s="187" t="n"/>
      <c r="BG22" s="188" t="n"/>
      <c r="BH22" s="188" t="n"/>
      <c r="BI22" s="188" t="n"/>
      <c r="BJ22" s="860" t="inlineStr">
        <is>
          <t>Démarrage manutention prévue début S2/2014 avec équipement dédié</t>
        </is>
      </c>
      <c r="BK22" s="1014" t="n"/>
      <c r="BL22" s="1014" t="n"/>
      <c r="BM22" s="1014" t="n"/>
      <c r="BN22" s="1014" t="n"/>
      <c r="BO22" s="1014" t="n"/>
      <c r="BP22" s="1014" t="n"/>
      <c r="BQ22" s="147" t="n"/>
    </row>
    <row r="23" ht="18" customFormat="1" customHeight="1" s="184">
      <c r="A23" s="182" t="n"/>
      <c r="B23" s="183" t="n"/>
      <c r="F23" s="183" t="n"/>
      <c r="J23" s="183" t="n"/>
      <c r="N23" s="183" t="n"/>
      <c r="R23" s="183" t="n"/>
      <c r="V23" s="183" t="n"/>
      <c r="Z23" s="183" t="n"/>
      <c r="AD23" s="183" t="n"/>
      <c r="AH23" s="183" t="n"/>
      <c r="AL23" s="183" t="n"/>
      <c r="AP23" s="183" t="n"/>
      <c r="AT23" s="183" t="n"/>
      <c r="AX23" s="183" t="n"/>
      <c r="BB23" s="183" t="n"/>
      <c r="BF23" s="183" t="n"/>
      <c r="BJ23" s="57" t="n"/>
      <c r="BQ23" s="1011" t="n"/>
    </row>
    <row r="24" ht="18" customFormat="1" customHeight="1" s="184">
      <c r="A24" s="186" t="inlineStr">
        <is>
          <t>Foxtrot</t>
        </is>
      </c>
      <c r="B24" s="189" t="n"/>
      <c r="C24" s="190" t="n"/>
      <c r="D24" s="190" t="n"/>
      <c r="E24" s="190" t="n"/>
      <c r="F24" s="189" t="n"/>
      <c r="G24" s="190" t="n"/>
      <c r="H24" s="190" t="n"/>
      <c r="I24" s="190" t="n"/>
      <c r="J24" s="189" t="n"/>
      <c r="K24" s="190" t="n"/>
      <c r="L24" s="190" t="n"/>
      <c r="M24" s="190" t="n"/>
      <c r="N24" s="189" t="n"/>
      <c r="O24" s="190" t="n"/>
      <c r="P24" s="190" t="n"/>
      <c r="Q24" s="190" t="n"/>
      <c r="R24" s="189" t="n"/>
      <c r="S24" s="190" t="n"/>
      <c r="T24" s="190" t="n"/>
      <c r="U24" s="190" t="n"/>
      <c r="V24" s="189" t="n"/>
      <c r="W24" s="190" t="n"/>
      <c r="X24" s="190" t="n"/>
      <c r="Y24" s="190" t="n"/>
      <c r="Z24" s="189" t="n"/>
      <c r="AA24" s="190" t="n"/>
      <c r="AB24" s="190" t="n"/>
      <c r="AC24" s="190" t="n"/>
      <c r="AD24" s="189" t="n"/>
      <c r="AE24" s="190" t="n"/>
      <c r="AF24" s="190" t="n"/>
      <c r="AG24" s="190" t="n"/>
      <c r="AH24" s="189" t="n"/>
      <c r="AI24" s="190" t="n"/>
      <c r="AJ24" s="190" t="n"/>
      <c r="AK24" s="190" t="n"/>
      <c r="AL24" s="189" t="n"/>
      <c r="AM24" s="190" t="n"/>
      <c r="AN24" s="190" t="n"/>
      <c r="AO24" s="190" t="n"/>
      <c r="AP24" s="189" t="n"/>
      <c r="AQ24" s="190" t="n"/>
      <c r="AR24" s="190" t="n"/>
      <c r="AS24" s="190" t="n"/>
      <c r="AT24" s="189" t="n"/>
      <c r="AU24" s="190" t="n"/>
      <c r="AV24" s="190" t="n"/>
      <c r="AW24" s="190" t="n"/>
      <c r="AX24" s="189" t="n"/>
      <c r="AY24" s="190" t="n"/>
      <c r="AZ24" s="190" t="n"/>
      <c r="BA24" s="190" t="n"/>
      <c r="BB24" s="189" t="n"/>
      <c r="BC24" s="190" t="n"/>
      <c r="BD24" s="190" t="n"/>
      <c r="BE24" s="190" t="n"/>
      <c r="BF24" s="189" t="n"/>
      <c r="BG24" s="190" t="n"/>
      <c r="BH24" s="190" t="n"/>
      <c r="BI24" s="190" t="n"/>
      <c r="BJ24" s="1013" t="n"/>
      <c r="BK24" s="1004" t="n"/>
      <c r="BL24" s="1004" t="n"/>
      <c r="BM24" s="1004" t="n"/>
      <c r="BN24" s="1004" t="n"/>
      <c r="BO24" s="1004" t="n"/>
      <c r="BP24" s="1004" t="n"/>
      <c r="BQ24" s="1005" t="n"/>
    </row>
    <row r="25" ht="18" customHeight="1">
      <c r="A25" s="181" t="inlineStr">
        <is>
          <t>E. Raude</t>
        </is>
      </c>
      <c r="B25" s="187" t="n"/>
      <c r="C25" s="188" t="n"/>
      <c r="D25" s="188" t="n"/>
      <c r="E25" s="188" t="n"/>
      <c r="F25" s="187" t="n"/>
      <c r="G25" s="188" t="n"/>
      <c r="H25" s="188" t="n"/>
      <c r="I25" s="188" t="n"/>
      <c r="J25" s="187" t="n"/>
      <c r="K25" s="188" t="n"/>
      <c r="L25" s="188" t="n"/>
      <c r="M25" s="188" t="n"/>
      <c r="N25" s="187" t="n"/>
      <c r="O25" s="188" t="n"/>
      <c r="P25" s="188" t="n"/>
      <c r="Q25" s="188" t="n"/>
      <c r="R25" s="187" t="n"/>
      <c r="S25" s="188" t="n"/>
      <c r="T25" s="188" t="n"/>
      <c r="U25" s="188" t="n"/>
      <c r="V25" s="187" t="n"/>
      <c r="W25" s="188" t="n"/>
      <c r="X25" s="188" t="n"/>
      <c r="Y25" s="188" t="n"/>
      <c r="Z25" s="187" t="n"/>
      <c r="AA25" s="188" t="n"/>
      <c r="AB25" s="188" t="n"/>
      <c r="AC25" s="188" t="n"/>
      <c r="AD25" s="187" t="n"/>
      <c r="AE25" s="188" t="n"/>
      <c r="AF25" s="188" t="n"/>
      <c r="AG25" s="188" t="n"/>
      <c r="AH25" s="187" t="n"/>
      <c r="AI25" s="188" t="n"/>
      <c r="AJ25" s="188" t="n"/>
      <c r="AK25" s="188" t="n"/>
      <c r="AL25" s="187" t="n"/>
      <c r="AM25" s="188" t="n"/>
      <c r="AN25" s="188" t="n"/>
      <c r="AO25" s="188" t="n"/>
      <c r="AP25" s="187" t="n"/>
      <c r="AQ25" s="188" t="n"/>
      <c r="AR25" s="188" t="n"/>
      <c r="AS25" s="188" t="n"/>
      <c r="AT25" s="187" t="n"/>
      <c r="AU25" s="188" t="n"/>
      <c r="AV25" s="188" t="n"/>
      <c r="AW25" s="188" t="n"/>
      <c r="AX25" s="187" t="n"/>
      <c r="AY25" s="188" t="n"/>
      <c r="AZ25" s="188" t="n"/>
      <c r="BA25" s="188" t="n"/>
      <c r="BB25" s="187" t="n"/>
      <c r="BC25" s="188" t="n"/>
      <c r="BD25" s="188" t="n"/>
      <c r="BE25" s="188" t="n"/>
      <c r="BF25" s="187" t="n"/>
      <c r="BG25" s="188" t="n"/>
      <c r="BH25" s="188" t="n"/>
      <c r="BI25" s="188" t="n"/>
      <c r="BJ25" s="860" t="inlineStr">
        <is>
          <t>Campagne terminée - Pas d'annonce de découverte.</t>
        </is>
      </c>
      <c r="BK25" s="1014" t="n"/>
      <c r="BL25" s="1014" t="n"/>
      <c r="BM25" s="1014" t="n"/>
      <c r="BN25" s="1014" t="n"/>
      <c r="BO25" s="1014" t="n"/>
      <c r="BP25" s="1014" t="n"/>
      <c r="BQ25" s="147" t="n"/>
    </row>
    <row r="26" ht="18" customFormat="1" customHeight="1" s="184">
      <c r="A26" s="182" t="n"/>
      <c r="B26" s="183" t="n"/>
      <c r="F26" s="183" t="n"/>
      <c r="J26" s="183" t="n"/>
      <c r="N26" s="183" t="n"/>
      <c r="R26" s="183" t="n"/>
      <c r="V26" s="183" t="n"/>
      <c r="Z26" s="183" t="n"/>
      <c r="AD26" s="183" t="n"/>
      <c r="AH26" s="183" t="n"/>
      <c r="AL26" s="183" t="n"/>
      <c r="AP26" s="183" t="n"/>
      <c r="AT26" s="183" t="n"/>
      <c r="AX26" s="183" t="n"/>
      <c r="BB26" s="183" t="n"/>
      <c r="BF26" s="183" t="n"/>
      <c r="BJ26" s="57" t="n"/>
      <c r="BQ26" s="1011" t="n"/>
    </row>
    <row r="27" ht="18" customFormat="1" customHeight="1" s="184">
      <c r="A27" s="186" t="inlineStr">
        <is>
          <t>Lukoil</t>
        </is>
      </c>
      <c r="B27" s="189" t="n"/>
      <c r="C27" s="190" t="n"/>
      <c r="D27" s="190" t="n"/>
      <c r="E27" s="190" t="n"/>
      <c r="F27" s="189" t="n"/>
      <c r="G27" s="190" t="n"/>
      <c r="H27" s="190" t="n"/>
      <c r="I27" s="190" t="n"/>
      <c r="J27" s="189" t="n"/>
      <c r="K27" s="190" t="n"/>
      <c r="L27" s="190" t="n"/>
      <c r="M27" s="190" t="n"/>
      <c r="N27" s="189" t="n"/>
      <c r="O27" s="190" t="n"/>
      <c r="P27" s="190" t="n"/>
      <c r="Q27" s="190" t="n"/>
      <c r="R27" s="189" t="n"/>
      <c r="S27" s="190" t="n"/>
      <c r="T27" s="190" t="n"/>
      <c r="U27" s="190" t="n"/>
      <c r="V27" s="189" t="n"/>
      <c r="W27" s="190" t="n"/>
      <c r="X27" s="190" t="n"/>
      <c r="Y27" s="190" t="n"/>
      <c r="Z27" s="189" t="n"/>
      <c r="AA27" s="190" t="n"/>
      <c r="AB27" s="190" t="n"/>
      <c r="AC27" s="190" t="n"/>
      <c r="AD27" s="189" t="n"/>
      <c r="AE27" s="190" t="n"/>
      <c r="AF27" s="190" t="n"/>
      <c r="AG27" s="190" t="n"/>
      <c r="AH27" s="189" t="n"/>
      <c r="AI27" s="190" t="n"/>
      <c r="AJ27" s="190" t="n"/>
      <c r="AK27" s="190" t="n"/>
      <c r="AL27" s="189" t="n"/>
      <c r="AM27" s="190" t="n"/>
      <c r="AN27" s="190" t="n"/>
      <c r="AO27" s="190" t="n"/>
      <c r="AP27" s="189" t="n"/>
      <c r="AQ27" s="190" t="n"/>
      <c r="AR27" s="190" t="n"/>
      <c r="AS27" s="190" t="n"/>
      <c r="AT27" s="189" t="n"/>
      <c r="AU27" s="190" t="n"/>
      <c r="AV27" s="190" t="n"/>
      <c r="AW27" s="190" t="n"/>
      <c r="AX27" s="189" t="n"/>
      <c r="AY27" s="190" t="n"/>
      <c r="AZ27" s="190" t="n"/>
      <c r="BA27" s="190" t="n"/>
      <c r="BB27" s="189" t="n"/>
      <c r="BC27" s="190" t="n"/>
      <c r="BD27" s="190" t="n"/>
      <c r="BE27" s="190" t="n"/>
      <c r="BF27" s="189" t="n"/>
      <c r="BG27" s="190" t="n"/>
      <c r="BH27" s="190" t="n"/>
      <c r="BI27" s="190" t="n"/>
      <c r="BJ27" s="1013" t="n"/>
      <c r="BK27" s="1004" t="n"/>
      <c r="BL27" s="1004" t="n"/>
      <c r="BM27" s="1004" t="n"/>
      <c r="BN27" s="1004" t="n"/>
      <c r="BO27" s="1004" t="n"/>
      <c r="BP27" s="1004" t="n"/>
      <c r="BQ27" s="1005" t="n"/>
    </row>
    <row r="28" ht="18" customHeight="1">
      <c r="A28" s="194" t="inlineStr">
        <is>
          <t>Ops Foxtrot</t>
        </is>
      </c>
      <c r="B28" s="195" t="n"/>
      <c r="C28" s="196" t="n"/>
      <c r="D28" s="196" t="n"/>
      <c r="E28" s="196" t="n"/>
      <c r="F28" s="195" t="n"/>
      <c r="G28" s="196" t="n"/>
      <c r="H28" s="196" t="n"/>
      <c r="I28" s="196" t="n"/>
      <c r="J28" s="195" t="n"/>
      <c r="K28" s="196" t="n"/>
      <c r="L28" s="196" t="n"/>
      <c r="M28" s="196" t="n"/>
      <c r="N28" s="195" t="n"/>
      <c r="O28" s="196" t="n"/>
      <c r="P28" s="196" t="n"/>
      <c r="Q28" s="196" t="n"/>
      <c r="R28" s="195" t="n"/>
      <c r="S28" s="196" t="n"/>
      <c r="T28" s="196" t="n"/>
      <c r="U28" s="196" t="n"/>
      <c r="V28" s="195" t="n"/>
      <c r="W28" s="196" t="n"/>
      <c r="X28" s="196" t="n"/>
      <c r="Y28" s="196" t="n"/>
      <c r="Z28" s="195" t="n"/>
      <c r="AA28" s="196" t="n"/>
      <c r="AB28" s="196" t="n"/>
      <c r="AC28" s="196" t="n"/>
      <c r="AD28" s="195" t="n"/>
      <c r="AE28" s="196" t="n"/>
      <c r="AF28" s="196" t="n"/>
      <c r="AG28" s="196" t="n"/>
      <c r="AH28" s="195" t="n"/>
      <c r="AI28" s="196" t="n"/>
      <c r="AJ28" s="196" t="n"/>
      <c r="AK28" s="196" t="n"/>
      <c r="AL28" s="195" t="n"/>
      <c r="AM28" s="196" t="n"/>
      <c r="AN28" s="196" t="n"/>
      <c r="AO28" s="196" t="n"/>
      <c r="AP28" s="195" t="n"/>
      <c r="AQ28" s="196" t="n"/>
      <c r="AR28" s="196" t="n"/>
      <c r="AS28" s="196" t="n"/>
      <c r="AT28" s="195" t="n"/>
      <c r="AU28" s="196" t="n"/>
      <c r="AV28" s="196" t="n"/>
      <c r="AW28" s="196" t="n"/>
      <c r="AX28" s="195" t="n"/>
      <c r="AY28" s="196" t="n"/>
      <c r="AZ28" s="196" t="n"/>
      <c r="BA28" s="196" t="n"/>
      <c r="BB28" s="195" t="n"/>
      <c r="BC28" s="196" t="n"/>
      <c r="BD28" s="196" t="n"/>
      <c r="BE28" s="196" t="n"/>
      <c r="BF28" s="195" t="n"/>
      <c r="BG28" s="196" t="n"/>
      <c r="BH28" s="196" t="n"/>
      <c r="BI28" s="196" t="n"/>
      <c r="BJ28" s="860" t="n"/>
      <c r="BK28" s="1014" t="n"/>
      <c r="BL28" s="1014" t="n"/>
      <c r="BM28" s="1014" t="n"/>
      <c r="BN28" s="1014" t="n"/>
      <c r="BO28" s="1014" t="n"/>
      <c r="BP28" s="1014" t="n"/>
      <c r="BQ28" s="147" t="n"/>
    </row>
    <row r="29" ht="18" customHeight="1">
      <c r="A29" s="182" t="n"/>
      <c r="B29" s="183" t="n"/>
      <c r="C29" s="184" t="n"/>
      <c r="D29" s="184" t="n"/>
      <c r="E29" s="184" t="n"/>
      <c r="F29" s="183" t="n"/>
      <c r="G29" s="184" t="n"/>
      <c r="H29" s="184" t="n"/>
      <c r="I29" s="184" t="n"/>
      <c r="J29" s="183" t="n"/>
      <c r="K29" s="184" t="n"/>
      <c r="L29" s="184" t="n"/>
      <c r="M29" s="184" t="n"/>
      <c r="N29" s="183" t="n"/>
      <c r="O29" s="184" t="n"/>
      <c r="P29" s="184" t="n"/>
      <c r="Q29" s="184" t="n"/>
      <c r="R29" s="183" t="n"/>
      <c r="S29" s="184" t="n"/>
      <c r="T29" s="184" t="n"/>
      <c r="U29" s="184" t="n"/>
      <c r="V29" s="183" t="n"/>
      <c r="W29" s="184" t="n"/>
      <c r="X29" s="184" t="n"/>
      <c r="Y29" s="184" t="n"/>
      <c r="Z29" s="183" t="n"/>
      <c r="AA29" s="184" t="n"/>
      <c r="AB29" s="184" t="n"/>
      <c r="AC29" s="184" t="n"/>
      <c r="AD29" s="183" t="n"/>
      <c r="AE29" s="184" t="n"/>
      <c r="AF29" s="184" t="n"/>
      <c r="AG29" s="184" t="n"/>
      <c r="AH29" s="183" t="n"/>
      <c r="AI29" s="184" t="n"/>
      <c r="AJ29" s="184" t="n"/>
      <c r="AK29" s="184" t="n"/>
      <c r="AL29" s="183" t="n"/>
      <c r="AM29" s="184" t="n"/>
      <c r="AN29" s="184" t="n"/>
      <c r="AO29" s="184" t="n"/>
      <c r="AP29" s="183" t="n"/>
      <c r="AQ29" s="184" t="n"/>
      <c r="AR29" s="184" t="n"/>
      <c r="AS29" s="184" t="n"/>
      <c r="AT29" s="183" t="n"/>
      <c r="AU29" s="184" t="n"/>
      <c r="AV29" s="184" t="n"/>
      <c r="AW29" s="184" t="n"/>
      <c r="AX29" s="183" t="n"/>
      <c r="AY29" s="184" t="n"/>
      <c r="AZ29" s="184" t="n"/>
      <c r="BA29" s="184" t="n"/>
      <c r="BB29" s="183" t="n"/>
      <c r="BC29" s="184" t="n"/>
      <c r="BD29" s="184" t="n"/>
      <c r="BE29" s="184" t="n"/>
      <c r="BF29" s="183" t="n"/>
      <c r="BG29" s="184" t="n"/>
      <c r="BH29" s="184" t="n"/>
      <c r="BI29" s="184" t="n"/>
      <c r="BJ29" s="57" t="n"/>
      <c r="BQ29" s="1011" t="n"/>
    </row>
    <row r="30" ht="18" customHeight="1">
      <c r="A30" s="186" t="inlineStr">
        <is>
          <t>SUBTEC</t>
        </is>
      </c>
      <c r="B30" s="189" t="n"/>
      <c r="C30" s="190" t="n"/>
      <c r="D30" s="190" t="n"/>
      <c r="E30" s="190" t="n"/>
      <c r="F30" s="189" t="n"/>
      <c r="G30" s="190" t="n"/>
      <c r="H30" s="190" t="n"/>
      <c r="I30" s="190" t="n"/>
      <c r="J30" s="189" t="n"/>
      <c r="K30" s="190" t="n"/>
      <c r="L30" s="190" t="n"/>
      <c r="M30" s="190" t="n"/>
      <c r="N30" s="189" t="n"/>
      <c r="O30" s="190" t="n"/>
      <c r="P30" s="190" t="n"/>
      <c r="Q30" s="190" t="n"/>
      <c r="R30" s="189" t="n"/>
      <c r="S30" s="190" t="n"/>
      <c r="T30" s="190" t="n"/>
      <c r="U30" s="190" t="n"/>
      <c r="V30" s="189" t="n"/>
      <c r="W30" s="190" t="n"/>
      <c r="X30" s="190" t="n"/>
      <c r="Y30" s="190" t="n"/>
      <c r="Z30" s="189" t="n"/>
      <c r="AA30" s="190" t="n"/>
      <c r="AB30" s="190" t="n"/>
      <c r="AC30" s="190" t="n"/>
      <c r="AD30" s="189" t="n"/>
      <c r="AE30" s="190" t="n"/>
      <c r="AF30" s="190" t="n"/>
      <c r="AG30" s="190" t="n"/>
      <c r="AH30" s="189" t="n"/>
      <c r="AI30" s="190" t="n"/>
      <c r="AJ30" s="190" t="n"/>
      <c r="AK30" s="190" t="n"/>
      <c r="AL30" s="189" t="n"/>
      <c r="AM30" s="190" t="n"/>
      <c r="AN30" s="190" t="n"/>
      <c r="AO30" s="190" t="n"/>
      <c r="AP30" s="189" t="n"/>
      <c r="AQ30" s="190" t="n"/>
      <c r="AR30" s="190" t="n"/>
      <c r="AS30" s="190" t="n"/>
      <c r="AT30" s="189" t="n"/>
      <c r="AU30" s="190" t="n"/>
      <c r="AV30" s="190" t="n"/>
      <c r="AW30" s="190" t="n"/>
      <c r="AX30" s="189" t="n"/>
      <c r="AY30" s="190" t="n"/>
      <c r="AZ30" s="190" t="n"/>
      <c r="BA30" s="190" t="n"/>
      <c r="BB30" s="189" t="n"/>
      <c r="BC30" s="190" t="n"/>
      <c r="BD30" s="190" t="n"/>
      <c r="BE30" s="190" t="n"/>
      <c r="BF30" s="189" t="n"/>
      <c r="BG30" s="190" t="n"/>
      <c r="BH30" s="190" t="n"/>
      <c r="BI30" s="190" t="n"/>
      <c r="BJ30" s="1013" t="n"/>
      <c r="BK30" s="1004" t="n"/>
      <c r="BL30" s="1004" t="n"/>
      <c r="BM30" s="1004" t="n"/>
      <c r="BN30" s="1004" t="n"/>
      <c r="BO30" s="1004" t="n"/>
      <c r="BP30" s="1004" t="n"/>
      <c r="BQ30" s="1005" t="n"/>
    </row>
    <row r="31" ht="18" customHeight="1">
      <c r="A31" s="194" t="inlineStr">
        <is>
          <t>Marlin Project</t>
        </is>
      </c>
      <c r="B31" s="195" t="n"/>
      <c r="C31" s="196" t="n"/>
      <c r="D31" s="196" t="n"/>
      <c r="E31" s="196" t="n"/>
      <c r="F31" s="195" t="n"/>
      <c r="G31" s="196" t="n"/>
      <c r="H31" s="196" t="n"/>
      <c r="I31" s="196" t="n"/>
      <c r="J31" s="195" t="n"/>
      <c r="K31" s="196" t="n"/>
      <c r="L31" s="196" t="n"/>
      <c r="M31" s="196" t="n"/>
      <c r="N31" s="195" t="n"/>
      <c r="O31" s="196" t="n"/>
      <c r="P31" s="196" t="n"/>
      <c r="Q31" s="196" t="n"/>
      <c r="R31" s="195" t="n"/>
      <c r="S31" s="196" t="n"/>
      <c r="T31" s="196" t="n"/>
      <c r="U31" s="196" t="n"/>
      <c r="V31" s="195" t="n"/>
      <c r="W31" s="196" t="n"/>
      <c r="X31" s="196" t="n"/>
      <c r="Y31" s="196" t="n"/>
      <c r="Z31" s="195" t="n"/>
      <c r="AA31" s="196" t="n"/>
      <c r="AB31" s="196" t="n"/>
      <c r="AC31" s="196" t="n"/>
      <c r="AD31" s="195" t="n"/>
      <c r="AE31" s="196" t="n"/>
      <c r="AF31" s="196" t="n"/>
      <c r="AG31" s="196" t="n"/>
      <c r="AH31" s="195" t="n"/>
      <c r="AI31" s="196" t="n"/>
      <c r="AJ31" s="196" t="n"/>
      <c r="AK31" s="196" t="n"/>
      <c r="AL31" s="195" t="n"/>
      <c r="AM31" s="196" t="n"/>
      <c r="AN31" s="196" t="n"/>
      <c r="AO31" s="196" t="n"/>
      <c r="AP31" s="195" t="n"/>
      <c r="AQ31" s="196" t="n"/>
      <c r="AR31" s="196" t="n"/>
      <c r="AS31" s="196" t="n"/>
      <c r="AT31" s="195" t="n"/>
      <c r="AU31" s="196" t="n"/>
      <c r="AV31" s="196" t="n"/>
      <c r="AW31" s="196" t="n"/>
      <c r="AX31" s="195" t="n"/>
      <c r="AY31" s="196" t="n"/>
      <c r="AZ31" s="196" t="n"/>
      <c r="BA31" s="196" t="n"/>
      <c r="BB31" s="195" t="n"/>
      <c r="BC31" s="196" t="n"/>
      <c r="BD31" s="196" t="n"/>
      <c r="BE31" s="196" t="n"/>
      <c r="BF31" s="195" t="n"/>
      <c r="BG31" s="196" t="n"/>
      <c r="BH31" s="196" t="n"/>
      <c r="BI31" s="196" t="n"/>
      <c r="BJ31" s="860" t="n"/>
      <c r="BK31" s="1014" t="n"/>
      <c r="BL31" s="1014" t="n"/>
      <c r="BM31" s="1014" t="n"/>
      <c r="BN31" s="1014" t="n"/>
      <c r="BO31" s="1014" t="n"/>
      <c r="BP31" s="1014" t="n"/>
      <c r="BQ31" s="147" t="n"/>
    </row>
    <row r="32" ht="18" customHeight="1">
      <c r="A32" s="182" t="n"/>
      <c r="B32" s="183" t="n"/>
      <c r="C32" s="184" t="n"/>
      <c r="D32" s="184" t="n"/>
      <c r="E32" s="184" t="n"/>
      <c r="F32" s="183" t="n"/>
      <c r="G32" s="184" t="n"/>
      <c r="H32" s="184" t="n"/>
      <c r="I32" s="184" t="n"/>
      <c r="J32" s="183" t="n"/>
      <c r="K32" s="184" t="n"/>
      <c r="L32" s="184" t="n"/>
      <c r="M32" s="184" t="n"/>
      <c r="N32" s="183" t="n"/>
      <c r="O32" s="184" t="n"/>
      <c r="P32" s="184" t="n"/>
      <c r="Q32" s="184" t="n"/>
      <c r="R32" s="183" t="n"/>
      <c r="S32" s="184" t="n"/>
      <c r="T32" s="184" t="n"/>
      <c r="U32" s="184" t="n"/>
      <c r="V32" s="183" t="n"/>
      <c r="W32" s="184" t="n"/>
      <c r="X32" s="184" t="n"/>
      <c r="Y32" s="184" t="n"/>
      <c r="Z32" s="183" t="n"/>
      <c r="AA32" s="184" t="n"/>
      <c r="AB32" s="184" t="n"/>
      <c r="AC32" s="184" t="n"/>
      <c r="AD32" s="183" t="n"/>
      <c r="AE32" s="184" t="n"/>
      <c r="AF32" s="184" t="n"/>
      <c r="AG32" s="184" t="n"/>
      <c r="AH32" s="183" t="n"/>
      <c r="AI32" s="184" t="n"/>
      <c r="AJ32" s="184" t="n"/>
      <c r="AK32" s="184" t="n"/>
      <c r="AL32" s="183" t="n"/>
      <c r="AM32" s="184" t="n"/>
      <c r="AN32" s="184" t="n"/>
      <c r="AO32" s="184" t="n"/>
      <c r="AP32" s="183" t="n"/>
      <c r="AQ32" s="184" t="n"/>
      <c r="AR32" s="184" t="n"/>
      <c r="AS32" s="184" t="n"/>
      <c r="AT32" s="183" t="n"/>
      <c r="AU32" s="184" t="n"/>
      <c r="AV32" s="184" t="n"/>
      <c r="AW32" s="184" t="n"/>
      <c r="AX32" s="183" t="n"/>
      <c r="AY32" s="184" t="n"/>
      <c r="AZ32" s="184" t="n"/>
      <c r="BA32" s="184" t="n"/>
      <c r="BB32" s="183" t="n"/>
      <c r="BC32" s="184" t="n"/>
      <c r="BD32" s="184" t="n"/>
      <c r="BE32" s="184" t="n"/>
      <c r="BF32" s="183" t="n"/>
      <c r="BG32" s="184" t="n"/>
      <c r="BH32" s="184" t="n"/>
      <c r="BI32" s="184" t="n"/>
      <c r="BJ32" s="57" t="n"/>
      <c r="BQ32" s="1011" t="n"/>
    </row>
    <row r="33" ht="18" customHeight="1">
      <c r="A33" s="186" t="inlineStr">
        <is>
          <t>ORTEC / FRIEDLANDER</t>
        </is>
      </c>
      <c r="B33" s="189" t="n"/>
      <c r="C33" s="190" t="n"/>
      <c r="D33" s="190" t="n"/>
      <c r="E33" s="190" t="n"/>
      <c r="F33" s="189" t="n"/>
      <c r="G33" s="190" t="n"/>
      <c r="H33" s="190" t="n"/>
      <c r="I33" s="190" t="n"/>
      <c r="J33" s="189" t="n"/>
      <c r="K33" s="190" t="n"/>
      <c r="L33" s="190" t="n"/>
      <c r="M33" s="190" t="n"/>
      <c r="N33" s="189" t="n"/>
      <c r="O33" s="190" t="n"/>
      <c r="P33" s="190" t="n"/>
      <c r="Q33" s="190" t="n"/>
      <c r="R33" s="189" t="n"/>
      <c r="S33" s="190" t="n"/>
      <c r="T33" s="190" t="n"/>
      <c r="U33" s="190" t="n"/>
      <c r="V33" s="189" t="n"/>
      <c r="W33" s="190" t="n"/>
      <c r="X33" s="190" t="n"/>
      <c r="Y33" s="190" t="n"/>
      <c r="Z33" s="189" t="n"/>
      <c r="AA33" s="190" t="n"/>
      <c r="AB33" s="190" t="n"/>
      <c r="AC33" s="190" t="n"/>
      <c r="AD33" s="189" t="n"/>
      <c r="AE33" s="190" t="n"/>
      <c r="AF33" s="190" t="n"/>
      <c r="AG33" s="190" t="n"/>
      <c r="AH33" s="189" t="n"/>
      <c r="AI33" s="190" t="n"/>
      <c r="AJ33" s="190" t="n"/>
      <c r="AK33" s="190" t="n"/>
      <c r="AL33" s="189" t="n"/>
      <c r="AM33" s="190" t="n"/>
      <c r="AN33" s="190" t="n"/>
      <c r="AO33" s="190" t="n"/>
      <c r="AP33" s="189" t="n"/>
      <c r="AQ33" s="190" t="n"/>
      <c r="AR33" s="190" t="n"/>
      <c r="AS33" s="190" t="n"/>
      <c r="AT33" s="189" t="n"/>
      <c r="AU33" s="190" t="n"/>
      <c r="AV33" s="190" t="n"/>
      <c r="AW33" s="190" t="n"/>
      <c r="AX33" s="189" t="n"/>
      <c r="AY33" s="190" t="n"/>
      <c r="AZ33" s="190" t="n"/>
      <c r="BA33" s="190" t="n"/>
      <c r="BB33" s="189" t="n"/>
      <c r="BC33" s="190" t="n"/>
      <c r="BD33" s="190" t="n"/>
      <c r="BE33" s="190" t="n"/>
      <c r="BF33" s="189" t="n"/>
      <c r="BG33" s="190" t="n"/>
      <c r="BH33" s="190" t="n"/>
      <c r="BI33" s="190" t="n"/>
      <c r="BJ33" s="1013" t="n"/>
      <c r="BK33" s="1004" t="n"/>
      <c r="BL33" s="1004" t="n"/>
      <c r="BM33" s="1004" t="n"/>
      <c r="BN33" s="1004" t="n"/>
      <c r="BO33" s="1004" t="n"/>
      <c r="BP33" s="1004" t="n"/>
      <c r="BQ33" s="1005" t="n"/>
    </row>
    <row r="34" ht="18" customHeight="1">
      <c r="A34" s="191" t="inlineStr">
        <is>
          <t>Services (seismic)</t>
        </is>
      </c>
      <c r="B34" s="195" t="n"/>
      <c r="C34" s="196" t="n"/>
      <c r="D34" s="196" t="n"/>
      <c r="E34" s="196" t="n"/>
      <c r="F34" s="195" t="n"/>
      <c r="G34" s="196" t="n"/>
      <c r="H34" s="196" t="n"/>
      <c r="I34" s="196" t="n"/>
      <c r="J34" s="195" t="n"/>
      <c r="K34" s="196" t="n"/>
      <c r="L34" s="196" t="n"/>
      <c r="M34" s="196" t="n"/>
      <c r="N34" s="195" t="n"/>
      <c r="O34" s="196" t="n"/>
      <c r="P34" s="196" t="n"/>
      <c r="Q34" s="196" t="n"/>
      <c r="R34" s="195" t="n"/>
      <c r="S34" s="196" t="n"/>
      <c r="T34" s="196" t="n"/>
      <c r="U34" s="196" t="n"/>
      <c r="V34" s="195" t="n"/>
      <c r="W34" s="196" t="n"/>
      <c r="X34" s="196" t="n"/>
      <c r="Y34" s="196" t="n"/>
      <c r="Z34" s="195" t="n"/>
      <c r="AA34" s="196" t="n"/>
      <c r="AB34" s="196" t="n"/>
      <c r="AC34" s="196" t="n"/>
      <c r="AD34" s="195" t="n"/>
      <c r="AE34" s="196" t="n"/>
      <c r="AF34" s="196" t="n"/>
      <c r="AG34" s="196" t="n"/>
      <c r="AH34" s="195" t="n"/>
      <c r="AI34" s="196" t="n"/>
      <c r="AJ34" s="196" t="n"/>
      <c r="AK34" s="196" t="n"/>
      <c r="AL34" s="195" t="n"/>
      <c r="AM34" s="196" t="n"/>
      <c r="AN34" s="196" t="n"/>
      <c r="AO34" s="196" t="n"/>
      <c r="AP34" s="195" t="n"/>
      <c r="AQ34" s="196" t="n"/>
      <c r="AR34" s="196" t="n"/>
      <c r="AS34" s="196" t="n"/>
      <c r="AT34" s="195" t="n"/>
      <c r="AU34" s="196" t="n"/>
      <c r="AV34" s="196" t="n"/>
      <c r="AW34" s="196" t="n"/>
      <c r="AX34" s="195" t="n"/>
      <c r="AY34" s="196" t="n"/>
      <c r="AZ34" s="196" t="n"/>
      <c r="BA34" s="196" t="n"/>
      <c r="BB34" s="195" t="n"/>
      <c r="BC34" s="196" t="n"/>
      <c r="BD34" s="196" t="n"/>
      <c r="BE34" s="196" t="n"/>
      <c r="BF34" s="195" t="n"/>
      <c r="BG34" s="196" t="n"/>
      <c r="BH34" s="196" t="n"/>
      <c r="BI34" s="196" t="n"/>
      <c r="BJ34" s="860" t="inlineStr">
        <is>
          <t>Campagne terminée</t>
        </is>
      </c>
      <c r="BK34" s="1014" t="n"/>
      <c r="BL34" s="1014" t="n"/>
      <c r="BM34" s="1014" t="n"/>
      <c r="BN34" s="1014" t="n"/>
      <c r="BO34" s="1014" t="n"/>
      <c r="BP34" s="1014" t="n"/>
      <c r="BQ34" s="147" t="n"/>
    </row>
    <row r="35" ht="18" customHeight="1">
      <c r="A35" s="192" t="n"/>
      <c r="B35" s="183" t="n"/>
      <c r="C35" s="184" t="n"/>
      <c r="D35" s="184" t="n"/>
      <c r="E35" s="184" t="n"/>
      <c r="F35" s="183" t="n"/>
      <c r="G35" s="184" t="n"/>
      <c r="H35" s="184" t="n"/>
      <c r="I35" s="184" t="n"/>
      <c r="J35" s="183" t="n"/>
      <c r="K35" s="184" t="n"/>
      <c r="L35" s="184" t="n"/>
      <c r="M35" s="184" t="n"/>
      <c r="N35" s="183" t="n"/>
      <c r="O35" s="184" t="n"/>
      <c r="P35" s="184" t="n"/>
      <c r="Q35" s="184" t="n"/>
      <c r="R35" s="183" t="n"/>
      <c r="S35" s="184" t="n"/>
      <c r="T35" s="184" t="n"/>
      <c r="U35" s="184" t="n"/>
      <c r="V35" s="183" t="n"/>
      <c r="W35" s="184" t="n"/>
      <c r="X35" s="184" t="n"/>
      <c r="Y35" s="184" t="n"/>
      <c r="Z35" s="183" t="n"/>
      <c r="AA35" s="184" t="n"/>
      <c r="AB35" s="184" t="n"/>
      <c r="AC35" s="184" t="n"/>
      <c r="AD35" s="183" t="n"/>
      <c r="AE35" s="184" t="n"/>
      <c r="AF35" s="184" t="n"/>
      <c r="AG35" s="184" t="n"/>
      <c r="AH35" s="183" t="n"/>
      <c r="AI35" s="184" t="n"/>
      <c r="AJ35" s="184" t="n"/>
      <c r="AK35" s="184" t="n"/>
      <c r="AL35" s="183" t="n"/>
      <c r="AM35" s="184" t="n"/>
      <c r="AN35" s="184" t="n"/>
      <c r="AO35" s="184" t="n"/>
      <c r="AP35" s="183" t="n"/>
      <c r="AQ35" s="184" t="n"/>
      <c r="AR35" s="184" t="n"/>
      <c r="AS35" s="184" t="n"/>
      <c r="AT35" s="183" t="n"/>
      <c r="AU35" s="184" t="n"/>
      <c r="AV35" s="184" t="n"/>
      <c r="AW35" s="184" t="n"/>
      <c r="AX35" s="183" t="n"/>
      <c r="AY35" s="184" t="n"/>
      <c r="AZ35" s="184" t="n"/>
      <c r="BA35" s="184" t="n"/>
      <c r="BB35" s="183" t="n"/>
      <c r="BC35" s="184" t="n"/>
      <c r="BD35" s="184" t="n"/>
      <c r="BE35" s="184" t="n"/>
      <c r="BF35" s="183" t="n"/>
      <c r="BG35" s="184" t="n"/>
      <c r="BH35" s="184" t="n"/>
      <c r="BI35" s="184" t="n"/>
      <c r="BJ35" s="57" t="n"/>
      <c r="BQ35" s="1011" t="n"/>
    </row>
    <row r="36" ht="18" customHeight="1">
      <c r="A36" s="193" t="inlineStr">
        <is>
          <t>CGG</t>
        </is>
      </c>
      <c r="B36" s="189" t="n"/>
      <c r="C36" s="190" t="n"/>
      <c r="D36" s="190" t="n"/>
      <c r="E36" s="190" t="n"/>
      <c r="F36" s="189" t="n"/>
      <c r="G36" s="190" t="n"/>
      <c r="H36" s="190" t="n"/>
      <c r="I36" s="190" t="n"/>
      <c r="J36" s="189" t="n"/>
      <c r="K36" s="190" t="n"/>
      <c r="L36" s="190" t="n"/>
      <c r="M36" s="190" t="n"/>
      <c r="N36" s="189" t="n"/>
      <c r="O36" s="190" t="n"/>
      <c r="P36" s="190" t="n"/>
      <c r="Q36" s="190" t="n"/>
      <c r="R36" s="189" t="n"/>
      <c r="S36" s="190" t="n"/>
      <c r="T36" s="190" t="n"/>
      <c r="U36" s="190" t="n"/>
      <c r="V36" s="189" t="n"/>
      <c r="W36" s="190" t="n"/>
      <c r="X36" s="190" t="n"/>
      <c r="Y36" s="190" t="n"/>
      <c r="Z36" s="189" t="n"/>
      <c r="AA36" s="190" t="n"/>
      <c r="AB36" s="190" t="n"/>
      <c r="AC36" s="190" t="n"/>
      <c r="AD36" s="189" t="n"/>
      <c r="AE36" s="190" t="n"/>
      <c r="AF36" s="190" t="n"/>
      <c r="AG36" s="190" t="n"/>
      <c r="AH36" s="189" t="n"/>
      <c r="AI36" s="190" t="n"/>
      <c r="AJ36" s="190" t="n"/>
      <c r="AK36" s="190" t="n"/>
      <c r="AL36" s="189" t="n"/>
      <c r="AM36" s="190" t="n"/>
      <c r="AN36" s="190" t="n"/>
      <c r="AO36" s="190" t="n"/>
      <c r="AP36" s="189" t="n"/>
      <c r="AQ36" s="190" t="n"/>
      <c r="AR36" s="190" t="n"/>
      <c r="AS36" s="190" t="n"/>
      <c r="AT36" s="189" t="n"/>
      <c r="AU36" s="190" t="n"/>
      <c r="AV36" s="190" t="n"/>
      <c r="AW36" s="190" t="n"/>
      <c r="AX36" s="189" t="n"/>
      <c r="AY36" s="190" t="n"/>
      <c r="AZ36" s="190" t="n"/>
      <c r="BA36" s="190" t="n"/>
      <c r="BB36" s="189" t="n"/>
      <c r="BC36" s="190" t="n"/>
      <c r="BD36" s="190" t="n"/>
      <c r="BE36" s="190" t="n"/>
      <c r="BF36" s="189" t="n"/>
      <c r="BG36" s="190" t="n"/>
      <c r="BH36" s="190" t="n"/>
      <c r="BI36" s="190" t="n"/>
      <c r="BJ36" s="1013" t="n"/>
      <c r="BK36" s="1004" t="n"/>
      <c r="BL36" s="1004" t="n"/>
      <c r="BM36" s="1004" t="n"/>
      <c r="BN36" s="1004" t="n"/>
      <c r="BO36" s="1004" t="n"/>
      <c r="BP36" s="1004" t="n"/>
      <c r="BQ36" s="1005" t="n"/>
    </row>
    <row r="37" ht="18" customHeight="1">
      <c r="A37" s="191" t="inlineStr">
        <is>
          <t>West Tellus</t>
        </is>
      </c>
      <c r="B37" s="195" t="n"/>
      <c r="C37" s="196" t="n"/>
      <c r="D37" s="196" t="n"/>
      <c r="E37" s="196" t="n"/>
      <c r="F37" s="195" t="n"/>
      <c r="G37" s="196" t="n"/>
      <c r="H37" s="196" t="n"/>
      <c r="I37" s="196" t="n"/>
      <c r="J37" s="195" t="n"/>
      <c r="K37" s="196" t="n"/>
      <c r="L37" s="196" t="n"/>
      <c r="M37" s="196" t="n"/>
      <c r="N37" s="195" t="n"/>
      <c r="O37" s="196" t="n"/>
      <c r="P37" s="196" t="n"/>
      <c r="Q37" s="196" t="n"/>
      <c r="R37" s="195" t="n"/>
      <c r="S37" s="196" t="n"/>
      <c r="T37" s="196" t="n"/>
      <c r="U37" s="196" t="n"/>
      <c r="V37" s="195" t="n"/>
      <c r="W37" s="196" t="n"/>
      <c r="X37" s="196" t="n"/>
      <c r="Y37" s="196" t="n"/>
      <c r="Z37" s="195" t="n"/>
      <c r="AA37" s="196" t="n"/>
      <c r="AB37" s="196" t="n"/>
      <c r="AC37" s="196" t="n"/>
      <c r="AD37" s="195" t="n"/>
      <c r="AE37" s="196" t="n"/>
      <c r="AF37" s="196" t="n"/>
      <c r="AG37" s="196" t="n"/>
      <c r="AH37" s="195" t="n"/>
      <c r="AI37" s="196" t="n"/>
      <c r="AJ37" s="196" t="n"/>
      <c r="AK37" s="196" t="n"/>
      <c r="AL37" s="195" t="n"/>
      <c r="AM37" s="196" t="n"/>
      <c r="AN37" s="196" t="n"/>
      <c r="AO37" s="196" t="n"/>
      <c r="AP37" s="195" t="n"/>
      <c r="AQ37" s="196" t="n"/>
      <c r="AR37" s="196" t="n"/>
      <c r="AS37" s="196" t="n"/>
      <c r="AT37" s="195" t="n"/>
      <c r="AU37" s="196" t="n"/>
      <c r="AV37" s="196" t="n"/>
      <c r="AW37" s="196" t="n"/>
      <c r="AX37" s="195" t="n"/>
      <c r="AY37" s="196" t="n"/>
      <c r="AZ37" s="196" t="n"/>
      <c r="BA37" s="196" t="n"/>
      <c r="BB37" s="195" t="n"/>
      <c r="BC37" s="196" t="n"/>
      <c r="BD37" s="196" t="n"/>
      <c r="BE37" s="196" t="n"/>
      <c r="BF37" s="195" t="n"/>
      <c r="BG37" s="196" t="n"/>
      <c r="BH37" s="196" t="n"/>
      <c r="BI37" s="196" t="n"/>
      <c r="BJ37" s="860" t="n"/>
      <c r="BK37" s="1014" t="n"/>
      <c r="BL37" s="1014" t="n"/>
      <c r="BM37" s="1014" t="n"/>
      <c r="BN37" s="1014" t="n"/>
      <c r="BO37" s="1014" t="n"/>
      <c r="BP37" s="1014" t="n"/>
      <c r="BQ37" s="147" t="n"/>
    </row>
    <row r="38" ht="18" customHeight="1">
      <c r="A38" s="192" t="n"/>
      <c r="B38" s="183" t="n"/>
      <c r="C38" s="184" t="n"/>
      <c r="D38" s="184" t="n"/>
      <c r="E38" s="184" t="n"/>
      <c r="F38" s="183" t="n"/>
      <c r="G38" s="184" t="n"/>
      <c r="H38" s="184" t="n"/>
      <c r="I38" s="184" t="n"/>
      <c r="J38" s="183" t="n"/>
      <c r="K38" s="184" t="n"/>
      <c r="L38" s="184" t="n"/>
      <c r="M38" s="184" t="n"/>
      <c r="N38" s="183" t="n"/>
      <c r="O38" s="184" t="n"/>
      <c r="P38" s="184" t="n"/>
      <c r="Q38" s="184" t="n"/>
      <c r="R38" s="183" t="n"/>
      <c r="S38" s="184" t="n"/>
      <c r="T38" s="184" t="n"/>
      <c r="U38" s="184" t="n"/>
      <c r="V38" s="183" t="n"/>
      <c r="W38" s="184" t="n"/>
      <c r="X38" s="184" t="n"/>
      <c r="Y38" s="184" t="n"/>
      <c r="Z38" s="183" t="n"/>
      <c r="AA38" s="184" t="n"/>
      <c r="AB38" s="184" t="n"/>
      <c r="AC38" s="184" t="n"/>
      <c r="AD38" s="183" t="n"/>
      <c r="AE38" s="184" t="n"/>
      <c r="AF38" s="184" t="n"/>
      <c r="AG38" s="184" t="n"/>
      <c r="AH38" s="183" t="n"/>
      <c r="AI38" s="184" t="n"/>
      <c r="AJ38" s="184" t="n"/>
      <c r="AK38" s="184" t="n"/>
      <c r="AL38" s="183" t="n"/>
      <c r="AM38" s="184" t="n"/>
      <c r="AN38" s="184" t="n"/>
      <c r="AO38" s="184" t="n"/>
      <c r="AP38" s="183" t="n"/>
      <c r="AQ38" s="184" t="n"/>
      <c r="AR38" s="184" t="n"/>
      <c r="AS38" s="184" t="n"/>
      <c r="AT38" s="183" t="n"/>
      <c r="AU38" s="184" t="n"/>
      <c r="AV38" s="184" t="n"/>
      <c r="AW38" s="184" t="n"/>
      <c r="AX38" s="183" t="n"/>
      <c r="AY38" s="184" t="n"/>
      <c r="AZ38" s="184" t="n"/>
      <c r="BA38" s="184" t="n"/>
      <c r="BB38" s="183" t="n"/>
      <c r="BC38" s="184" t="n"/>
      <c r="BD38" s="184" t="n"/>
      <c r="BE38" s="184" t="n"/>
      <c r="BF38" s="183" t="n"/>
      <c r="BG38" s="184" t="n"/>
      <c r="BH38" s="184" t="n"/>
      <c r="BI38" s="184" t="n"/>
      <c r="BJ38" s="57" t="n"/>
      <c r="BQ38" s="1011" t="n"/>
    </row>
    <row r="39" ht="18" customHeight="1" thickBot="1">
      <c r="A39" s="193" t="inlineStr">
        <is>
          <t>CHEVRON Liberia</t>
        </is>
      </c>
      <c r="B39" s="189" t="n"/>
      <c r="C39" s="190" t="n"/>
      <c r="D39" s="190" t="n"/>
      <c r="E39" s="190" t="n"/>
      <c r="F39" s="189" t="n"/>
      <c r="G39" s="190" t="n"/>
      <c r="H39" s="190" t="n"/>
      <c r="I39" s="190" t="n"/>
      <c r="J39" s="189" t="n"/>
      <c r="K39" s="190" t="n"/>
      <c r="L39" s="190" t="n"/>
      <c r="M39" s="190" t="n"/>
      <c r="N39" s="189" t="n"/>
      <c r="O39" s="190" t="n"/>
      <c r="P39" s="190" t="n"/>
      <c r="Q39" s="190" t="n"/>
      <c r="R39" s="189" t="n"/>
      <c r="S39" s="190" t="n"/>
      <c r="T39" s="190" t="n"/>
      <c r="U39" s="190" t="n"/>
      <c r="V39" s="189" t="n"/>
      <c r="W39" s="190" t="n"/>
      <c r="X39" s="190" t="n"/>
      <c r="Y39" s="190" t="n"/>
      <c r="Z39" s="189" t="n"/>
      <c r="AA39" s="190" t="n"/>
      <c r="AB39" s="190" t="n"/>
      <c r="AC39" s="190" t="n"/>
      <c r="AD39" s="189" t="n"/>
      <c r="AE39" s="190" t="n"/>
      <c r="AF39" s="190" t="n"/>
      <c r="AG39" s="190" t="n"/>
      <c r="AH39" s="189" t="n"/>
      <c r="AI39" s="190" t="n"/>
      <c r="AJ39" s="190" t="n"/>
      <c r="AK39" s="190" t="n"/>
      <c r="AL39" s="189" t="n"/>
      <c r="AM39" s="190" t="n"/>
      <c r="AN39" s="190" t="n"/>
      <c r="AO39" s="190" t="n"/>
      <c r="AP39" s="189" t="n"/>
      <c r="AQ39" s="190" t="n"/>
      <c r="AR39" s="190" t="n"/>
      <c r="AS39" s="190" t="n"/>
      <c r="AT39" s="189" t="n"/>
      <c r="AU39" s="190" t="n"/>
      <c r="AV39" s="190" t="n"/>
      <c r="AW39" s="190" t="n"/>
      <c r="AX39" s="189" t="n"/>
      <c r="AY39" s="190" t="n"/>
      <c r="AZ39" s="190" t="n"/>
      <c r="BA39" s="190" t="n"/>
      <c r="BB39" s="189" t="n"/>
      <c r="BC39" s="190" t="n"/>
      <c r="BD39" s="190" t="n"/>
      <c r="BE39" s="190" t="n"/>
      <c r="BF39" s="189" t="n"/>
      <c r="BG39" s="190" t="n"/>
      <c r="BH39" s="190" t="n"/>
      <c r="BI39" s="190" t="n"/>
      <c r="BJ39" s="1013" t="n"/>
      <c r="BK39" s="1004" t="n"/>
      <c r="BL39" s="1004" t="n"/>
      <c r="BM39" s="1004" t="n"/>
      <c r="BN39" s="1004" t="n"/>
      <c r="BO39" s="1004" t="n"/>
      <c r="BP39" s="1004" t="n"/>
      <c r="BQ39" s="1005" t="n"/>
    </row>
    <row r="40" ht="18" customHeight="1" thickBot="1"/>
    <row r="41" ht="18" customHeight="1">
      <c r="A41" s="1015" t="inlineStr">
        <is>
          <t>TRANSIT</t>
        </is>
      </c>
      <c r="B41" s="1008" t="n"/>
      <c r="C41" s="1008" t="n"/>
      <c r="D41" s="1008" t="n"/>
      <c r="E41" s="1008" t="n"/>
      <c r="F41" s="1008" t="n"/>
      <c r="G41" s="1008" t="n"/>
      <c r="H41" s="1008" t="n"/>
      <c r="I41" s="1008" t="n"/>
      <c r="J41" s="1008" t="n"/>
      <c r="K41" s="1008" t="n"/>
      <c r="L41" s="1008" t="n"/>
      <c r="M41" s="1008" t="n"/>
      <c r="N41" s="1008" t="n"/>
      <c r="O41" s="1008" t="n"/>
      <c r="P41" s="1008" t="n"/>
      <c r="Q41" s="1008" t="n"/>
      <c r="R41" s="1008" t="n"/>
      <c r="S41" s="1009" t="n"/>
      <c r="U41" s="1016" t="inlineStr">
        <is>
          <t>TRANSIT + CONSIGNATION</t>
        </is>
      </c>
      <c r="V41" s="1008" t="n"/>
      <c r="W41" s="1008" t="n"/>
      <c r="X41" s="1008" t="n"/>
      <c r="Y41" s="1008" t="n"/>
      <c r="Z41" s="1008" t="n"/>
      <c r="AA41" s="1008" t="n"/>
      <c r="AB41" s="1008" t="n"/>
      <c r="AC41" s="1008" t="n"/>
      <c r="AD41" s="1008" t="n"/>
      <c r="AE41" s="1008" t="n"/>
      <c r="AF41" s="1008" t="n"/>
      <c r="AG41" s="1009" t="n"/>
      <c r="AJ41" s="1017" t="inlineStr">
        <is>
          <t>OPS Sur Base ALCI (touchées de quai)</t>
        </is>
      </c>
      <c r="AK41" s="1008" t="n"/>
      <c r="AL41" s="1008" t="n"/>
      <c r="AM41" s="1008" t="n"/>
      <c r="AN41" s="1008" t="n"/>
      <c r="AO41" s="1008" t="n"/>
      <c r="AP41" s="1008" t="n"/>
      <c r="AQ41" s="1008" t="n"/>
      <c r="AR41" s="1008" t="n"/>
      <c r="AS41" s="1008" t="n"/>
      <c r="AT41" s="1008" t="n"/>
      <c r="AU41" s="1008" t="n"/>
      <c r="AV41" s="1009" t="n"/>
      <c r="AX41" s="1018" t="inlineStr">
        <is>
          <t>MANUTENTION</t>
        </is>
      </c>
      <c r="AY41" s="1008" t="n"/>
      <c r="AZ41" s="1008" t="n"/>
      <c r="BA41" s="1008" t="n"/>
      <c r="BB41" s="1008" t="n"/>
      <c r="BC41" s="1008" t="n"/>
      <c r="BD41" s="1008" t="n"/>
      <c r="BE41" s="1008" t="n"/>
      <c r="BF41" s="1008" t="n"/>
      <c r="BG41" s="1008" t="n"/>
      <c r="BH41" s="1008" t="n"/>
      <c r="BI41" s="1008" t="n"/>
      <c r="BJ41" s="1009" t="n"/>
    </row>
    <row r="42" ht="18" customHeight="1" thickBot="1">
      <c r="A42" s="59" t="n"/>
      <c r="B42" s="60" t="n"/>
      <c r="C42" s="60" t="n"/>
      <c r="D42" s="60" t="n"/>
      <c r="E42" s="60" t="n"/>
      <c r="F42" s="60" t="n"/>
      <c r="G42" s="60" t="n"/>
      <c r="H42" s="60" t="n"/>
      <c r="I42" s="60" t="n"/>
      <c r="J42" s="60" t="n"/>
      <c r="K42" s="60" t="n"/>
      <c r="L42" s="60" t="n"/>
      <c r="M42" s="60" t="n"/>
      <c r="N42" s="60" t="n"/>
      <c r="O42" s="60" t="n"/>
      <c r="P42" s="60" t="n"/>
      <c r="Q42" s="60" t="n"/>
      <c r="R42" s="60" t="n"/>
      <c r="S42" s="61" t="n"/>
      <c r="U42" s="59" t="n"/>
      <c r="V42" s="60" t="n"/>
      <c r="W42" s="60" t="n"/>
      <c r="X42" s="60" t="n"/>
      <c r="Y42" s="60" t="n"/>
      <c r="Z42" s="60" t="n"/>
      <c r="AA42" s="60" t="n"/>
      <c r="AB42" s="60" t="n"/>
      <c r="AC42" s="60" t="n"/>
      <c r="AD42" s="60" t="n"/>
      <c r="AE42" s="60" t="n"/>
      <c r="AF42" s="60" t="n"/>
      <c r="AG42" s="61" t="n"/>
      <c r="AJ42" s="59" t="n"/>
      <c r="AK42" s="60" t="n"/>
      <c r="AL42" s="60" t="n"/>
      <c r="AM42" s="60" t="n"/>
      <c r="AN42" s="60" t="n"/>
      <c r="AO42" s="60" t="n"/>
      <c r="AP42" s="60" t="n"/>
      <c r="AQ42" s="60" t="n"/>
      <c r="AR42" s="60" t="n"/>
      <c r="AS42" s="60" t="n"/>
      <c r="AT42" s="60" t="n"/>
      <c r="AU42" s="60" t="n"/>
      <c r="AV42" s="61" t="n"/>
      <c r="AX42" s="59" t="n"/>
      <c r="AY42" s="60" t="n"/>
      <c r="AZ42" s="60" t="n"/>
      <c r="BA42" s="60" t="n"/>
      <c r="BB42" s="60" t="n"/>
      <c r="BC42" s="60" t="n"/>
      <c r="BD42" s="60" t="n"/>
      <c r="BE42" s="60" t="n"/>
      <c r="BF42" s="60" t="n"/>
      <c r="BG42" s="60" t="n"/>
      <c r="BH42" s="60" t="n"/>
      <c r="BI42" s="60" t="n"/>
      <c r="BJ42" s="61" t="n"/>
    </row>
    <row r="43" ht="18" customHeight="1" thickBot="1"/>
    <row r="44" ht="18" customHeight="1">
      <c r="A44" s="1019" t="inlineStr">
        <is>
          <t>TRANSIT + MANUT</t>
        </is>
      </c>
      <c r="B44" s="1008" t="n"/>
      <c r="C44" s="1008" t="n"/>
      <c r="D44" s="1008" t="n"/>
      <c r="E44" s="1008" t="n"/>
      <c r="F44" s="1008" t="n"/>
      <c r="G44" s="1008" t="n"/>
      <c r="H44" s="1008" t="n"/>
      <c r="I44" s="1008" t="n"/>
      <c r="J44" s="1008" t="n"/>
      <c r="K44" s="1008" t="n"/>
      <c r="L44" s="1008" t="n"/>
      <c r="M44" s="1008" t="n"/>
      <c r="N44" s="1008" t="n"/>
      <c r="O44" s="1008" t="n"/>
      <c r="P44" s="1008" t="n"/>
      <c r="Q44" s="1008" t="n"/>
      <c r="R44" s="1008" t="n"/>
      <c r="S44" s="1009" t="n"/>
      <c r="U44" s="1020" t="inlineStr">
        <is>
          <t>MANUTENTION + CONSIGNATION</t>
        </is>
      </c>
      <c r="V44" s="1008" t="n"/>
      <c r="W44" s="1008" t="n"/>
      <c r="X44" s="1008" t="n"/>
      <c r="Y44" s="1008" t="n"/>
      <c r="Z44" s="1008" t="n"/>
      <c r="AA44" s="1008" t="n"/>
      <c r="AB44" s="1008" t="n"/>
      <c r="AC44" s="1008" t="n"/>
      <c r="AD44" s="1008" t="n"/>
      <c r="AE44" s="1008" t="n"/>
      <c r="AF44" s="1008" t="n"/>
      <c r="AG44" s="1009" t="n"/>
      <c r="AJ44" s="1021" t="inlineStr">
        <is>
          <t>OPS Sur Base SEPBA Vridi</t>
        </is>
      </c>
      <c r="AK44" s="1008" t="n"/>
      <c r="AL44" s="1008" t="n"/>
      <c r="AM44" s="1008" t="n"/>
      <c r="AN44" s="1008" t="n"/>
      <c r="AO44" s="1008" t="n"/>
      <c r="AP44" s="1008" t="n"/>
      <c r="AQ44" s="1008" t="n"/>
      <c r="AR44" s="1008" t="n"/>
      <c r="AS44" s="1008" t="n"/>
      <c r="AT44" s="1008" t="n"/>
      <c r="AU44" s="1008" t="n"/>
      <c r="AV44" s="1009" t="n"/>
      <c r="AX44" s="1022" t="inlineStr">
        <is>
          <t xml:space="preserve">A DEFINIR </t>
        </is>
      </c>
      <c r="AY44" s="1008" t="n"/>
      <c r="AZ44" s="1008" t="n"/>
      <c r="BA44" s="1008" t="n"/>
      <c r="BB44" s="1008" t="n"/>
      <c r="BC44" s="1008" t="n"/>
      <c r="BD44" s="1008" t="n"/>
      <c r="BE44" s="1008" t="n"/>
      <c r="BF44" s="1008" t="n"/>
      <c r="BG44" s="1008" t="n"/>
      <c r="BH44" s="1008" t="n"/>
      <c r="BI44" s="1008" t="n"/>
      <c r="BJ44" s="1009" t="n"/>
    </row>
    <row r="45" ht="18" customHeight="1" thickBot="1">
      <c r="A45" s="59" t="n"/>
      <c r="B45" s="60" t="n"/>
      <c r="C45" s="60" t="n"/>
      <c r="D45" s="60" t="n"/>
      <c r="E45" s="60" t="n"/>
      <c r="F45" s="60" t="n"/>
      <c r="G45" s="60" t="n"/>
      <c r="H45" s="60" t="n"/>
      <c r="I45" s="60" t="n"/>
      <c r="J45" s="60" t="n"/>
      <c r="K45" s="60" t="n"/>
      <c r="L45" s="60" t="n"/>
      <c r="M45" s="60" t="n"/>
      <c r="N45" s="60" t="n"/>
      <c r="O45" s="60" t="n"/>
      <c r="P45" s="60" t="n"/>
      <c r="Q45" s="60" t="n"/>
      <c r="R45" s="60" t="n"/>
      <c r="S45" s="61" t="n"/>
      <c r="U45" s="59" t="n"/>
      <c r="V45" s="60" t="n"/>
      <c r="W45" s="60" t="n"/>
      <c r="X45" s="60" t="n"/>
      <c r="Y45" s="60" t="n"/>
      <c r="Z45" s="60" t="n"/>
      <c r="AA45" s="60" t="n"/>
      <c r="AB45" s="60" t="n"/>
      <c r="AC45" s="60" t="n"/>
      <c r="AD45" s="60" t="n"/>
      <c r="AE45" s="60" t="n"/>
      <c r="AF45" s="60" t="n"/>
      <c r="AG45" s="61" t="n"/>
      <c r="AJ45" s="59" t="n"/>
      <c r="AK45" s="60" t="n"/>
      <c r="AL45" s="60" t="n"/>
      <c r="AM45" s="60" t="n"/>
      <c r="AN45" s="60" t="n"/>
      <c r="AO45" s="60" t="n"/>
      <c r="AP45" s="60" t="n"/>
      <c r="AQ45" s="60" t="n"/>
      <c r="AR45" s="60" t="n"/>
      <c r="AS45" s="60" t="n"/>
      <c r="AT45" s="60" t="n"/>
      <c r="AU45" s="60" t="n"/>
      <c r="AV45" s="61" t="n"/>
      <c r="AX45" s="59" t="n"/>
      <c r="AY45" s="60" t="n"/>
      <c r="AZ45" s="60" t="n"/>
      <c r="BA45" s="60" t="n"/>
      <c r="BB45" s="60" t="n"/>
      <c r="BC45" s="60" t="n"/>
      <c r="BD45" s="60" t="n"/>
      <c r="BE45" s="60" t="n"/>
      <c r="BF45" s="60" t="n"/>
      <c r="BG45" s="60" t="n"/>
      <c r="BH45" s="60" t="n"/>
      <c r="BI45" s="60" t="n"/>
      <c r="BJ45" s="61" t="n"/>
    </row>
    <row r="46" ht="18" customHeight="1" thickBot="1"/>
    <row r="47" ht="18" customHeight="1">
      <c r="A47" s="1023" t="inlineStr">
        <is>
          <t>TRANSIT + MANUT + CONSIGNATION</t>
        </is>
      </c>
      <c r="B47" s="1008" t="n"/>
      <c r="C47" s="1008" t="n"/>
      <c r="D47" s="1008" t="n"/>
      <c r="E47" s="1008" t="n"/>
      <c r="F47" s="1008" t="n"/>
      <c r="G47" s="1008" t="n"/>
      <c r="H47" s="1008" t="n"/>
      <c r="I47" s="1008" t="n"/>
      <c r="J47" s="1008" t="n"/>
      <c r="K47" s="1008" t="n"/>
      <c r="L47" s="1008" t="n"/>
      <c r="M47" s="1008" t="n"/>
      <c r="N47" s="1008" t="n"/>
      <c r="O47" s="1008" t="n"/>
      <c r="P47" s="1008" t="n"/>
      <c r="Q47" s="1008" t="n"/>
      <c r="R47" s="1008" t="n"/>
      <c r="S47" s="1009" t="n"/>
      <c r="V47" s="197" t="n"/>
      <c r="W47" s="197" t="n"/>
      <c r="X47" s="197" t="n"/>
      <c r="Y47" s="197" t="n"/>
      <c r="Z47" s="197" t="n"/>
      <c r="AI47" s="197" t="n"/>
      <c r="AJ47" s="197" t="n"/>
      <c r="AK47" s="197" t="n"/>
      <c r="AL47" s="197" t="n"/>
      <c r="AM47" s="197" t="n"/>
      <c r="AN47" s="197" t="n"/>
    </row>
    <row r="48" ht="18" customHeight="1" thickBot="1">
      <c r="A48" s="59" t="n"/>
      <c r="B48" s="60" t="n"/>
      <c r="C48" s="60" t="n"/>
      <c r="D48" s="60" t="n"/>
      <c r="E48" s="60" t="n"/>
      <c r="F48" s="60" t="n"/>
      <c r="G48" s="60" t="n"/>
      <c r="H48" s="60" t="n"/>
      <c r="I48" s="60" t="n"/>
      <c r="J48" s="60" t="n"/>
      <c r="K48" s="60" t="n"/>
      <c r="L48" s="60" t="n"/>
      <c r="M48" s="60" t="n"/>
      <c r="N48" s="60" t="n"/>
      <c r="O48" s="60" t="n"/>
      <c r="P48" s="60" t="n"/>
      <c r="Q48" s="60" t="n"/>
      <c r="R48" s="60" t="n"/>
      <c r="S48" s="61" t="n"/>
      <c r="V48" s="197" t="n"/>
      <c r="W48" s="197" t="n"/>
      <c r="X48" s="197" t="n"/>
      <c r="Y48" s="197" t="n"/>
      <c r="Z48" s="197" t="n"/>
      <c r="AI48" s="197" t="n"/>
      <c r="AJ48" s="197" t="n"/>
      <c r="AK48" s="197" t="n"/>
      <c r="AL48" s="197" t="n"/>
      <c r="AM48" s="197" t="n"/>
      <c r="AN48" s="197" t="n"/>
    </row>
    <row r="49" ht="18" customHeight="1"/>
    <row r="50" ht="18" customHeight="1">
      <c r="A50" s="178" t="n"/>
      <c r="D50" s="197" t="n"/>
      <c r="E50" s="197" t="n"/>
      <c r="F50" s="197" t="n"/>
      <c r="G50" s="197" t="n"/>
      <c r="H50" s="197" t="n"/>
      <c r="V50" s="197" t="n"/>
      <c r="W50" s="197" t="n"/>
      <c r="X50" s="197" t="n"/>
      <c r="Y50" s="197" t="n"/>
      <c r="Z50" s="197" t="n"/>
    </row>
    <row r="51" ht="18" customHeight="1">
      <c r="A51" s="178" t="n"/>
      <c r="D51" s="197" t="n"/>
      <c r="E51" s="197" t="n"/>
      <c r="F51" s="197" t="n"/>
      <c r="G51" s="197" t="n"/>
      <c r="H51" s="197" t="n"/>
      <c r="V51" s="197" t="n"/>
      <c r="W51" s="197" t="n"/>
      <c r="X51" s="197" t="n"/>
      <c r="Y51" s="197" t="n"/>
      <c r="Z51" s="197" t="n"/>
    </row>
    <row r="52" ht="18" customHeight="1">
      <c r="A52" s="178" t="n"/>
    </row>
    <row r="53" ht="18" customHeight="1">
      <c r="A53" s="178" t="n"/>
    </row>
    <row r="54" ht="18" customHeight="1">
      <c r="A54" s="178" t="n"/>
    </row>
    <row r="55" ht="18" customHeight="1">
      <c r="A55" s="178" t="n"/>
    </row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</sheetData>
  <mergeCells count="38">
    <mergeCell ref="AP2:AS2"/>
    <mergeCell ref="BF4:BI6"/>
    <mergeCell ref="AH2:AK2"/>
    <mergeCell ref="J2:M2"/>
    <mergeCell ref="AT2:AW2"/>
    <mergeCell ref="R2:U2"/>
    <mergeCell ref="BB2:BE2"/>
    <mergeCell ref="BF2:BI2"/>
    <mergeCell ref="BJ4:BQ6"/>
    <mergeCell ref="A41:S42"/>
    <mergeCell ref="AD2:AG2"/>
    <mergeCell ref="BJ31:BQ33"/>
    <mergeCell ref="BJ34:BQ36"/>
    <mergeCell ref="BJ10:BQ12"/>
    <mergeCell ref="V2:Y2"/>
    <mergeCell ref="BJ25:BQ27"/>
    <mergeCell ref="U41:AG42"/>
    <mergeCell ref="BJ22:BQ24"/>
    <mergeCell ref="AL2:AO2"/>
    <mergeCell ref="AX41:BJ42"/>
    <mergeCell ref="B2:E2"/>
    <mergeCell ref="N2:Q2"/>
    <mergeCell ref="A47:S48"/>
    <mergeCell ref="AX2:BA2"/>
    <mergeCell ref="BJ13:BQ15"/>
    <mergeCell ref="BJ7:BQ9"/>
    <mergeCell ref="AJ44:AV45"/>
    <mergeCell ref="F2:I2"/>
    <mergeCell ref="BJ16:BQ18"/>
    <mergeCell ref="A44:S45"/>
    <mergeCell ref="Z2:AC2"/>
    <mergeCell ref="U44:AG45"/>
    <mergeCell ref="BJ28:BQ30"/>
    <mergeCell ref="AX44:BJ45"/>
    <mergeCell ref="BJ19:BQ21"/>
    <mergeCell ref="BJ37:BQ39"/>
    <mergeCell ref="AJ41:AV42"/>
    <mergeCell ref="BJ2:BQ3"/>
  </mergeCells>
  <printOptions horizontalCentered="1" verticalCentered="1"/>
  <pageMargins left="0.25" right="0.25" top="0.75" bottom="0.75" header="0.3" footer="0.3"/>
  <pageSetup orientation="landscape" paperSize="8" scale="63"/>
  <headerFooter>
    <oddHeader/>
    <oddFooter>&amp;L&amp;"Calibri"&amp;10 &amp;K000000_x000d_# Sensitivity: Internal</oddFooter>
    <evenHeader/>
    <evenFooter/>
    <firstHeader/>
    <firstFooter/>
  </headerFooter>
  <colBreaks count="1" manualBreakCount="1">
    <brk id="62" min="0" max="1048575" man="1"/>
  </col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M19"/>
  <sheetViews>
    <sheetView workbookViewId="0">
      <selection activeCell="B23" sqref="B23"/>
    </sheetView>
  </sheetViews>
  <sheetFormatPr baseColWidth="10" defaultRowHeight="14.5"/>
  <cols>
    <col width="34.81640625" bestFit="1" customWidth="1" min="1" max="1"/>
  </cols>
  <sheetData>
    <row r="2">
      <c r="B2" s="536" t="n">
        <v>42736</v>
      </c>
      <c r="C2" s="536" t="n">
        <v>42767</v>
      </c>
      <c r="D2" s="536" t="n">
        <v>42795</v>
      </c>
      <c r="E2" s="536" t="n">
        <v>42826</v>
      </c>
      <c r="F2" s="536" t="n">
        <v>42856</v>
      </c>
      <c r="G2" s="536" t="n">
        <v>42887</v>
      </c>
      <c r="H2" s="536" t="n">
        <v>42917</v>
      </c>
      <c r="I2" s="536" t="n">
        <v>42948</v>
      </c>
      <c r="J2" s="536" t="n">
        <v>42979</v>
      </c>
      <c r="K2" s="536" t="n">
        <v>43009</v>
      </c>
      <c r="L2" s="536" t="n">
        <v>43040</v>
      </c>
      <c r="M2" s="536" t="n">
        <v>43070</v>
      </c>
    </row>
    <row r="3">
      <c r="A3" s="2" t="inlineStr">
        <is>
          <t>Anadarko</t>
        </is>
      </c>
      <c r="B3" s="537" t="inlineStr">
        <is>
          <t>x</t>
        </is>
      </c>
      <c r="C3" s="537" t="inlineStr">
        <is>
          <t>x</t>
        </is>
      </c>
      <c r="D3" s="537" t="n"/>
      <c r="E3" s="537" t="n"/>
      <c r="F3" s="537" t="n"/>
      <c r="G3" s="537" t="n"/>
      <c r="H3" s="537" t="n"/>
      <c r="I3" s="537" t="n"/>
      <c r="J3" s="537" t="n"/>
      <c r="K3" s="537" t="n"/>
      <c r="L3" s="537" t="n"/>
      <c r="M3" s="537" t="n"/>
    </row>
    <row r="4">
      <c r="A4" s="2" t="inlineStr">
        <is>
          <t>Baker Hugues</t>
        </is>
      </c>
      <c r="B4" s="537" t="inlineStr">
        <is>
          <t>x</t>
        </is>
      </c>
      <c r="C4" s="537" t="inlineStr">
        <is>
          <t>x</t>
        </is>
      </c>
      <c r="D4" s="537" t="n"/>
      <c r="E4" s="537" t="n"/>
      <c r="F4" s="537" t="n"/>
      <c r="G4" s="537" t="n"/>
      <c r="H4" s="537" t="n"/>
      <c r="I4" s="537" t="n"/>
      <c r="J4" s="537" t="n"/>
      <c r="K4" s="537" t="n"/>
      <c r="L4" s="537" t="n"/>
      <c r="M4" s="537" t="n"/>
    </row>
    <row r="5">
      <c r="A5" s="2" t="inlineStr">
        <is>
          <t>CNR</t>
        </is>
      </c>
      <c r="B5" s="537" t="n"/>
      <c r="C5" s="537" t="n"/>
      <c r="D5" s="537" t="n"/>
      <c r="E5" s="537" t="n"/>
      <c r="F5" s="537" t="n"/>
      <c r="G5" s="537" t="n"/>
      <c r="H5" s="537" t="n"/>
      <c r="I5" s="537" t="n"/>
      <c r="J5" s="537" t="n"/>
      <c r="K5" s="537" t="n"/>
      <c r="L5" s="537" t="n"/>
      <c r="M5" s="537" t="n"/>
    </row>
    <row r="6">
      <c r="A6" s="2" t="inlineStr">
        <is>
          <t>ExxonMobil</t>
        </is>
      </c>
      <c r="B6" s="537" t="n"/>
      <c r="C6" s="537" t="inlineStr">
        <is>
          <t>x</t>
        </is>
      </c>
      <c r="D6" s="537" t="n"/>
      <c r="E6" s="537" t="n"/>
      <c r="F6" s="537" t="n"/>
      <c r="G6" s="537" t="n"/>
      <c r="H6" s="537" t="n"/>
      <c r="I6" s="537" t="n"/>
      <c r="J6" s="537" t="n"/>
      <c r="K6" s="537" t="n"/>
      <c r="L6" s="537" t="n"/>
      <c r="M6" s="537" t="n"/>
    </row>
    <row r="7">
      <c r="A7" s="2" t="inlineStr">
        <is>
          <t>EXPRO GROUP NORTH SEA / S-Traitant</t>
        </is>
      </c>
      <c r="B7" s="537" t="inlineStr">
        <is>
          <t>x</t>
        </is>
      </c>
      <c r="C7" s="537" t="n"/>
      <c r="D7" s="537" t="n"/>
      <c r="E7" s="537" t="n"/>
      <c r="F7" s="537" t="n"/>
      <c r="G7" s="537" t="n"/>
      <c r="H7" s="537" t="n"/>
      <c r="I7" s="537" t="n"/>
      <c r="J7" s="537" t="n"/>
      <c r="K7" s="537" t="n"/>
      <c r="L7" s="537" t="n"/>
      <c r="M7" s="537" t="n"/>
    </row>
    <row r="8">
      <c r="A8" s="2" t="inlineStr">
        <is>
          <t>FOXTROT</t>
        </is>
      </c>
      <c r="B8" s="537" t="n"/>
      <c r="C8" s="537" t="n"/>
      <c r="D8" s="537" t="n"/>
      <c r="E8" s="537" t="n"/>
      <c r="F8" s="537" t="n"/>
      <c r="G8" s="537" t="n"/>
      <c r="H8" s="537" t="n"/>
      <c r="I8" s="537" t="n"/>
      <c r="J8" s="537" t="n"/>
      <c r="K8" s="537" t="n"/>
      <c r="L8" s="537" t="n"/>
      <c r="M8" s="537" t="n"/>
    </row>
    <row r="9">
      <c r="A9" s="2" t="inlineStr">
        <is>
          <t>GLOBAL ENERGY</t>
        </is>
      </c>
      <c r="B9" s="537" t="n"/>
      <c r="C9" s="537" t="n"/>
      <c r="D9" s="537" t="n"/>
      <c r="E9" s="537" t="n"/>
      <c r="F9" s="537" t="n"/>
      <c r="G9" s="537" t="n"/>
      <c r="H9" s="537" t="n"/>
      <c r="I9" s="537" t="n"/>
      <c r="J9" s="537" t="n"/>
      <c r="K9" s="537" t="n"/>
      <c r="L9" s="537" t="n"/>
      <c r="M9" s="537" t="n"/>
    </row>
    <row r="10">
      <c r="A10" s="2" t="inlineStr">
        <is>
          <t>HALLIBURTON</t>
        </is>
      </c>
      <c r="B10" s="537" t="inlineStr">
        <is>
          <t>x</t>
        </is>
      </c>
      <c r="C10" s="537" t="inlineStr">
        <is>
          <t>x</t>
        </is>
      </c>
      <c r="D10" s="537" t="n"/>
      <c r="E10" s="537" t="n"/>
      <c r="F10" s="537" t="n"/>
      <c r="G10" s="537" t="n"/>
      <c r="H10" s="537" t="n"/>
      <c r="I10" s="537" t="n"/>
      <c r="J10" s="537" t="n"/>
      <c r="K10" s="537" t="n"/>
      <c r="L10" s="537" t="n"/>
      <c r="M10" s="537" t="n"/>
    </row>
    <row r="11">
      <c r="A11" s="2" t="inlineStr">
        <is>
          <t>MI</t>
        </is>
      </c>
      <c r="B11" s="537" t="n"/>
      <c r="C11" s="537" t="n"/>
      <c r="D11" s="537" t="n"/>
      <c r="E11" s="537" t="n"/>
      <c r="F11" s="537" t="n"/>
      <c r="G11" s="537" t="n"/>
      <c r="H11" s="537" t="n"/>
      <c r="I11" s="537" t="n"/>
      <c r="J11" s="537" t="n"/>
      <c r="K11" s="537" t="n"/>
      <c r="L11" s="537" t="n"/>
      <c r="M11" s="537" t="n"/>
    </row>
    <row r="12">
      <c r="A12" s="2" t="inlineStr">
        <is>
          <t>NOPCI - MODEC</t>
        </is>
      </c>
      <c r="B12" s="537" t="n"/>
      <c r="C12" s="537" t="n"/>
      <c r="D12" s="537" t="n"/>
      <c r="E12" s="537" t="n"/>
      <c r="F12" s="537" t="n"/>
      <c r="G12" s="537" t="n"/>
      <c r="H12" s="537" t="n"/>
      <c r="I12" s="537" t="n"/>
      <c r="J12" s="537" t="n"/>
      <c r="K12" s="537" t="n"/>
      <c r="L12" s="537" t="n"/>
      <c r="M12" s="537" t="n"/>
    </row>
    <row r="13">
      <c r="A13" s="2" t="inlineStr">
        <is>
          <t>Prosafe</t>
        </is>
      </c>
      <c r="B13" s="537" t="n"/>
      <c r="C13" s="537" t="n"/>
      <c r="D13" s="537" t="n"/>
      <c r="E13" s="537" t="n"/>
      <c r="F13" s="537" t="n"/>
      <c r="G13" s="537" t="n"/>
      <c r="H13" s="537" t="n"/>
      <c r="I13" s="537" t="n"/>
      <c r="J13" s="537" t="n"/>
      <c r="K13" s="537" t="n"/>
      <c r="L13" s="537" t="n"/>
      <c r="M13" s="537" t="n"/>
    </row>
    <row r="14">
      <c r="A14" s="2" t="inlineStr">
        <is>
          <t>SCHLUMBERGER</t>
        </is>
      </c>
      <c r="B14" s="537" t="n"/>
      <c r="C14" s="537" t="n"/>
      <c r="D14" s="537" t="n"/>
      <c r="E14" s="537" t="n"/>
      <c r="F14" s="537" t="n"/>
      <c r="G14" s="537" t="n"/>
      <c r="H14" s="537" t="n"/>
      <c r="I14" s="537" t="n"/>
      <c r="J14" s="537" t="n"/>
      <c r="K14" s="537" t="n"/>
      <c r="L14" s="537" t="n"/>
      <c r="M14" s="537" t="n"/>
    </row>
    <row r="15">
      <c r="A15" s="2" t="inlineStr">
        <is>
          <t>Sapura Kencana Drilling</t>
        </is>
      </c>
      <c r="B15" s="537" t="inlineStr">
        <is>
          <t>x</t>
        </is>
      </c>
      <c r="C15" s="537" t="n"/>
      <c r="D15" s="537" t="n"/>
      <c r="E15" s="537" t="n"/>
      <c r="F15" s="537" t="n"/>
      <c r="G15" s="537" t="n"/>
      <c r="H15" s="537" t="n"/>
      <c r="I15" s="537" t="n"/>
      <c r="J15" s="537" t="n"/>
      <c r="K15" s="537" t="n"/>
      <c r="L15" s="537" t="n"/>
      <c r="M15" s="537" t="n"/>
    </row>
    <row r="16">
      <c r="A16" s="2" t="inlineStr">
        <is>
          <t>SUBTEC</t>
        </is>
      </c>
      <c r="B16" s="537" t="n"/>
      <c r="C16" s="537" t="n"/>
      <c r="D16" s="537" t="n"/>
      <c r="E16" s="537" t="n"/>
      <c r="F16" s="537" t="n"/>
      <c r="G16" s="537" t="n"/>
      <c r="H16" s="537" t="n"/>
      <c r="I16" s="537" t="n"/>
      <c r="J16" s="537" t="n"/>
      <c r="K16" s="537" t="n"/>
      <c r="L16" s="537" t="n"/>
      <c r="M16" s="537" t="n"/>
    </row>
    <row r="17">
      <c r="A17" s="2" t="inlineStr">
        <is>
          <t>TOTAL E&amp;P COTE D'IVOIRE</t>
        </is>
      </c>
      <c r="B17" s="537" t="n"/>
      <c r="C17" s="537" t="n"/>
      <c r="D17" s="537" t="n"/>
      <c r="E17" s="537" t="n"/>
      <c r="F17" s="537" t="n"/>
      <c r="G17" s="537" t="n"/>
      <c r="H17" s="537" t="n"/>
      <c r="I17" s="537" t="n"/>
      <c r="J17" s="537" t="n"/>
      <c r="K17" s="537" t="n"/>
      <c r="L17" s="537" t="n"/>
      <c r="M17" s="537" t="n"/>
    </row>
    <row r="18">
      <c r="A18" s="2" t="inlineStr">
        <is>
          <t>WEATHERFORD</t>
        </is>
      </c>
      <c r="B18" s="537" t="inlineStr">
        <is>
          <t>x</t>
        </is>
      </c>
      <c r="C18" s="537" t="inlineStr">
        <is>
          <t>x</t>
        </is>
      </c>
      <c r="D18" s="537" t="n"/>
      <c r="E18" s="537" t="n"/>
      <c r="F18" s="537" t="n"/>
      <c r="G18" s="537" t="n"/>
      <c r="H18" s="537" t="n"/>
      <c r="I18" s="537" t="n"/>
      <c r="J18" s="537" t="n"/>
      <c r="K18" s="537" t="n"/>
      <c r="L18" s="537" t="n"/>
      <c r="M18" s="537" t="n"/>
    </row>
    <row r="19">
      <c r="A19" s="41" t="inlineStr">
        <is>
          <t>Weltec</t>
        </is>
      </c>
      <c r="B19" s="537" t="n"/>
      <c r="C19" s="537" t="n"/>
      <c r="D19" s="537" t="n"/>
      <c r="E19" s="537" t="n"/>
      <c r="F19" s="537" t="n"/>
      <c r="G19" s="537" t="n"/>
      <c r="H19" s="537" t="n"/>
      <c r="I19" s="537" t="n"/>
      <c r="J19" s="537" t="n"/>
      <c r="K19" s="537" t="n"/>
      <c r="L19" s="537" t="n"/>
      <c r="M19" s="537" t="n"/>
    </row>
  </sheetData>
  <pageMargins left="0.7" right="0.7" top="0.75" bottom="0.75" header="0.3" footer="0.3"/>
  <headerFooter>
    <oddHeader/>
    <oddFooter>&amp;L&amp;"Calibri"&amp;10 &amp;K000000_x000d_# Sensitivity: Internal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2:M105"/>
  <sheetViews>
    <sheetView workbookViewId="0">
      <selection activeCell="L15" sqref="L15"/>
    </sheetView>
  </sheetViews>
  <sheetFormatPr baseColWidth="10" defaultRowHeight="14.5"/>
  <cols>
    <col width="15.54296875" bestFit="1" customWidth="1" min="1" max="1"/>
    <col width="13.7265625" bestFit="1" customWidth="1" min="2" max="13"/>
  </cols>
  <sheetData>
    <row r="1" ht="15" customHeight="1" thickBot="1"/>
    <row r="2">
      <c r="A2" s="1024" t="inlineStr">
        <is>
          <t>Taux de rétrocessions (%)</t>
        </is>
      </c>
      <c r="B2" s="1008" t="n"/>
      <c r="C2" s="1008" t="n"/>
      <c r="D2" s="1008" t="n"/>
      <c r="E2" s="1008" t="n"/>
      <c r="F2" s="1008" t="n"/>
      <c r="G2" s="1008" t="n"/>
      <c r="H2" s="1008" t="n"/>
      <c r="I2" s="1008" t="n"/>
      <c r="J2" s="1008" t="n"/>
      <c r="K2" s="1008" t="n"/>
      <c r="L2" s="1008" t="n"/>
      <c r="M2" s="1009" t="n"/>
    </row>
    <row r="3">
      <c r="A3" s="57" t="inlineStr">
        <is>
          <t>Département</t>
        </is>
      </c>
      <c r="B3" t="inlineStr">
        <is>
          <t>Janvier</t>
        </is>
      </c>
      <c r="C3" t="inlineStr">
        <is>
          <t>Février</t>
        </is>
      </c>
      <c r="D3" t="inlineStr">
        <is>
          <t>Mars</t>
        </is>
      </c>
      <c r="E3" t="inlineStr">
        <is>
          <t>Avril</t>
        </is>
      </c>
      <c r="F3" t="inlineStr">
        <is>
          <t>Mai</t>
        </is>
      </c>
      <c r="G3" t="inlineStr">
        <is>
          <t>Juin</t>
        </is>
      </c>
      <c r="H3" t="inlineStr">
        <is>
          <t>Juillet</t>
        </is>
      </c>
      <c r="I3" t="inlineStr">
        <is>
          <t>Août</t>
        </is>
      </c>
      <c r="J3" t="inlineStr">
        <is>
          <t>Septembre</t>
        </is>
      </c>
      <c r="K3" t="inlineStr">
        <is>
          <t>Octobre</t>
        </is>
      </c>
      <c r="L3" t="inlineStr">
        <is>
          <t>Novembre</t>
        </is>
      </c>
      <c r="M3" s="58" t="inlineStr">
        <is>
          <t>Décembre</t>
        </is>
      </c>
    </row>
    <row r="4">
      <c r="A4" s="57" t="inlineStr">
        <is>
          <t>Import Maritime</t>
        </is>
      </c>
      <c r="B4" s="1025">
        <f>Janvier!E53</f>
        <v/>
      </c>
      <c r="C4" s="1025" t="n">
        <v>0</v>
      </c>
      <c r="D4" s="1025">
        <f>Mars!E53</f>
        <v/>
      </c>
      <c r="E4" s="1025">
        <f>Avril!E53</f>
        <v/>
      </c>
      <c r="F4" s="1025">
        <f>Mai!E53</f>
        <v/>
      </c>
      <c r="G4" s="1025">
        <f>Juin!E53</f>
        <v/>
      </c>
      <c r="H4" s="1025">
        <f>Juillet!E53</f>
        <v/>
      </c>
      <c r="I4" s="1025">
        <f>Aout!E53</f>
        <v/>
      </c>
      <c r="J4" s="1025">
        <f>Septembre!E53</f>
        <v/>
      </c>
      <c r="K4" s="1025">
        <f>Octobre!E53</f>
        <v/>
      </c>
      <c r="L4" s="1025">
        <f>Novembre!E53</f>
        <v/>
      </c>
      <c r="M4" s="1026">
        <f>Décembre!E53</f>
        <v/>
      </c>
    </row>
    <row r="5">
      <c r="A5" s="57" t="inlineStr">
        <is>
          <t>Hinterland</t>
        </is>
      </c>
      <c r="B5" s="1025">
        <f>Janvier!F53</f>
        <v/>
      </c>
      <c r="C5" s="1025">
        <f>Février!F53</f>
        <v/>
      </c>
      <c r="D5" s="1025">
        <f>Mars!F53</f>
        <v/>
      </c>
      <c r="E5" s="1025">
        <f>Avril!F53</f>
        <v/>
      </c>
      <c r="F5" s="1025">
        <f>Mai!F53</f>
        <v/>
      </c>
      <c r="G5" s="1025">
        <f>Juin!F53</f>
        <v/>
      </c>
      <c r="H5" s="1025">
        <f>Juillet!F53</f>
        <v/>
      </c>
      <c r="I5" s="1025">
        <f>Aout!F53</f>
        <v/>
      </c>
      <c r="J5" s="1025">
        <f>Septembre!F53</f>
        <v/>
      </c>
      <c r="K5" s="1025">
        <f>Octobre!F53</f>
        <v/>
      </c>
      <c r="L5" s="1025">
        <f>Novembre!F53</f>
        <v/>
      </c>
      <c r="M5" s="1026">
        <f>Décembre!F53</f>
        <v/>
      </c>
    </row>
    <row r="6">
      <c r="A6" s="57" t="inlineStr">
        <is>
          <t>Aérien</t>
        </is>
      </c>
      <c r="B6" s="1025">
        <f>Janvier!I53</f>
        <v/>
      </c>
      <c r="C6" s="1025">
        <f>Février!I53</f>
        <v/>
      </c>
      <c r="D6" s="1025">
        <f>Mars!I53</f>
        <v/>
      </c>
      <c r="E6" s="1025">
        <f>Avril!I53</f>
        <v/>
      </c>
      <c r="F6" s="1025">
        <f>Mai!I53</f>
        <v/>
      </c>
      <c r="G6" s="1025">
        <f>Juin!I53</f>
        <v/>
      </c>
      <c r="H6" s="1025">
        <f>Juillet!I53</f>
        <v/>
      </c>
      <c r="I6" s="1025">
        <f>Aout!I53</f>
        <v/>
      </c>
      <c r="J6" s="1025">
        <f>Septembre!I53</f>
        <v/>
      </c>
      <c r="K6" s="1025">
        <f>Octobre!I53</f>
        <v/>
      </c>
      <c r="L6" s="1025">
        <f>Novembre!I53</f>
        <v/>
      </c>
      <c r="M6" s="1026">
        <f>Décembre!I53</f>
        <v/>
      </c>
    </row>
    <row r="7">
      <c r="A7" s="57" t="inlineStr">
        <is>
          <t>Export Maritime</t>
        </is>
      </c>
      <c r="B7" s="1025">
        <f>Janvier!J53</f>
        <v/>
      </c>
      <c r="C7" s="1025">
        <f>Février!J53</f>
        <v/>
      </c>
      <c r="D7" s="1025">
        <f>Mars!J53</f>
        <v/>
      </c>
      <c r="E7" s="1025">
        <f>Avril!J53</f>
        <v/>
      </c>
      <c r="F7" s="1025">
        <f>Mai!J53</f>
        <v/>
      </c>
      <c r="G7" s="1025">
        <f>Juin!J53</f>
        <v/>
      </c>
      <c r="H7" s="1025">
        <f>Juillet!J53</f>
        <v/>
      </c>
      <c r="I7" s="1025">
        <f>Aout!J53</f>
        <v/>
      </c>
      <c r="J7" s="1025">
        <f>Septembre!J53</f>
        <v/>
      </c>
      <c r="K7" s="1025">
        <f>Octobre!J53</f>
        <v/>
      </c>
      <c r="L7" s="1025">
        <f>Novembre!J53</f>
        <v/>
      </c>
      <c r="M7" s="1026">
        <f>Décembre!J53</f>
        <v/>
      </c>
    </row>
    <row r="8">
      <c r="A8" s="57" t="inlineStr">
        <is>
          <t>SIRT (dédié)</t>
        </is>
      </c>
      <c r="B8" s="1025">
        <f>Janvier!#REF!</f>
        <v/>
      </c>
      <c r="C8" s="1025">
        <f>Février!N53</f>
        <v/>
      </c>
      <c r="D8" s="1025">
        <f>Mars!K53</f>
        <v/>
      </c>
      <c r="E8" s="1025">
        <f>Avril!K53</f>
        <v/>
      </c>
      <c r="F8" s="1025">
        <f>Mai!K53</f>
        <v/>
      </c>
      <c r="G8" s="1025">
        <f>Juin!K53</f>
        <v/>
      </c>
      <c r="H8" s="1025">
        <f>Juillet!K53</f>
        <v/>
      </c>
      <c r="I8" s="1025">
        <f>Aout!K53</f>
        <v/>
      </c>
      <c r="J8" s="1025">
        <f>Septembre!K53</f>
        <v/>
      </c>
      <c r="K8" s="1025">
        <f>Octobre!K53</f>
        <v/>
      </c>
      <c r="L8" s="1025">
        <f>Novembre!K53</f>
        <v/>
      </c>
      <c r="M8" s="1026">
        <f>Décembre!K53</f>
        <v/>
      </c>
    </row>
    <row r="9">
      <c r="A9" s="57" t="n"/>
      <c r="M9" s="58" t="n"/>
    </row>
    <row r="10">
      <c r="A10" s="57" t="n"/>
      <c r="M10" s="58" t="n"/>
    </row>
    <row r="11">
      <c r="A11" s="57" t="n"/>
      <c r="M11" s="58" t="n"/>
    </row>
    <row r="12">
      <c r="A12" s="57" t="n"/>
      <c r="M12" s="58" t="n"/>
    </row>
    <row r="13">
      <c r="A13" s="57" t="n"/>
      <c r="M13" s="58" t="n"/>
    </row>
    <row r="14">
      <c r="A14" s="57" t="n"/>
      <c r="M14" s="58" t="n"/>
    </row>
    <row r="15">
      <c r="A15" s="57" t="n"/>
      <c r="M15" s="58" t="n"/>
    </row>
    <row r="16">
      <c r="A16" s="57" t="n"/>
      <c r="M16" s="58" t="n"/>
    </row>
    <row r="17">
      <c r="A17" s="57" t="n"/>
      <c r="M17" s="58" t="n"/>
    </row>
    <row r="18">
      <c r="A18" s="57" t="n"/>
      <c r="M18" s="58" t="n"/>
    </row>
    <row r="19">
      <c r="A19" s="57" t="n"/>
      <c r="M19" s="58" t="n"/>
    </row>
    <row r="20">
      <c r="A20" s="57" t="n"/>
      <c r="M20" s="58" t="n"/>
    </row>
    <row r="21">
      <c r="A21" s="57" t="n"/>
      <c r="M21" s="58" t="n"/>
    </row>
    <row r="22">
      <c r="A22" s="57" t="n"/>
      <c r="M22" s="58" t="n"/>
    </row>
    <row r="23">
      <c r="A23" s="57" t="n"/>
      <c r="M23" s="58" t="n"/>
    </row>
    <row r="24">
      <c r="A24" s="57" t="n"/>
      <c r="M24" s="58" t="n"/>
    </row>
    <row r="25" ht="15" customHeight="1" thickBot="1">
      <c r="A25" s="59" t="n"/>
      <c r="B25" s="60" t="n"/>
      <c r="C25" s="60" t="n"/>
      <c r="D25" s="60" t="n"/>
      <c r="E25" s="60" t="n"/>
      <c r="F25" s="60" t="n"/>
      <c r="G25" s="60" t="n"/>
      <c r="H25" s="60" t="n"/>
      <c r="I25" s="60" t="n"/>
      <c r="J25" s="60" t="n"/>
      <c r="K25" s="60" t="n"/>
      <c r="L25" s="60" t="n"/>
      <c r="M25" s="61" t="n"/>
    </row>
    <row r="26" ht="15" customHeight="1" thickBot="1">
      <c r="A26" s="125" t="n"/>
      <c r="B26" s="126" t="n"/>
      <c r="C26" s="126" t="n"/>
      <c r="D26" s="126" t="n"/>
      <c r="E26" s="126" t="n"/>
      <c r="F26" s="126" t="n"/>
      <c r="G26" s="126" t="n"/>
      <c r="H26" s="126" t="n"/>
      <c r="I26" s="126" t="n"/>
      <c r="J26" s="126" t="n"/>
      <c r="K26" s="126" t="n"/>
      <c r="L26" s="126" t="n"/>
      <c r="M26" s="127" t="n"/>
    </row>
    <row r="27">
      <c r="A27" s="1024" t="inlineStr">
        <is>
          <t>Volume de rétrocessions (FCFA)</t>
        </is>
      </c>
      <c r="B27" s="1008" t="n"/>
      <c r="C27" s="1008" t="n"/>
      <c r="D27" s="1008" t="n"/>
      <c r="E27" s="1008" t="n"/>
      <c r="F27" s="1008" t="n"/>
      <c r="G27" s="1008" t="n"/>
      <c r="H27" s="1008" t="n"/>
      <c r="I27" s="1008" t="n"/>
      <c r="J27" s="1008" t="n"/>
      <c r="K27" s="1008" t="n"/>
      <c r="L27" s="1008" t="n"/>
      <c r="M27" s="1009" t="n"/>
    </row>
    <row r="28">
      <c r="A28" s="62" t="inlineStr">
        <is>
          <t>Département</t>
        </is>
      </c>
      <c r="B28" s="63" t="inlineStr">
        <is>
          <t>Janvier</t>
        </is>
      </c>
      <c r="C28" s="63" t="inlineStr">
        <is>
          <t>Février</t>
        </is>
      </c>
      <c r="D28" s="63" t="inlineStr">
        <is>
          <t>Mars</t>
        </is>
      </c>
      <c r="E28" s="63" t="inlineStr">
        <is>
          <t>Avril</t>
        </is>
      </c>
      <c r="F28" s="63" t="inlineStr">
        <is>
          <t>Mai</t>
        </is>
      </c>
      <c r="G28" s="63" t="inlineStr">
        <is>
          <t>Juin</t>
        </is>
      </c>
      <c r="H28" s="63" t="inlineStr">
        <is>
          <t>Juillet</t>
        </is>
      </c>
      <c r="I28" s="63" t="inlineStr">
        <is>
          <t>Août</t>
        </is>
      </c>
      <c r="J28" s="63" t="inlineStr">
        <is>
          <t>Septembre</t>
        </is>
      </c>
      <c r="K28" s="63" t="inlineStr">
        <is>
          <t>Octobre</t>
        </is>
      </c>
      <c r="L28" s="63" t="inlineStr">
        <is>
          <t>Novembre</t>
        </is>
      </c>
      <c r="M28" s="64" t="inlineStr">
        <is>
          <t>Décembre</t>
        </is>
      </c>
    </row>
    <row r="29">
      <c r="A29" s="57" t="inlineStr">
        <is>
          <t>Import Maritime</t>
        </is>
      </c>
      <c r="B29" s="1027">
        <f>Janvier!E52</f>
        <v/>
      </c>
      <c r="C29" s="1027">
        <f>Février!E52</f>
        <v/>
      </c>
      <c r="D29" s="1027">
        <f>Mars!E52</f>
        <v/>
      </c>
      <c r="E29" s="1027">
        <f>Avril!E52</f>
        <v/>
      </c>
      <c r="F29" s="1027">
        <f>Mai!E52</f>
        <v/>
      </c>
      <c r="G29" s="1027">
        <f>Juin!E52</f>
        <v/>
      </c>
      <c r="H29" s="1027">
        <f>Juillet!E52</f>
        <v/>
      </c>
      <c r="I29" s="1027">
        <f>Aout!E52</f>
        <v/>
      </c>
      <c r="J29" s="1027">
        <f>Septembre!E52</f>
        <v/>
      </c>
      <c r="K29" s="1027">
        <f>Octobre!E52</f>
        <v/>
      </c>
      <c r="L29" s="1027">
        <f>Novembre!E52</f>
        <v/>
      </c>
      <c r="M29" s="1028">
        <f>Décembre!E52</f>
        <v/>
      </c>
    </row>
    <row r="30">
      <c r="A30" s="57" t="inlineStr">
        <is>
          <t>Hinterland</t>
        </is>
      </c>
      <c r="B30" s="1027">
        <f>Janvier!F52</f>
        <v/>
      </c>
      <c r="C30" s="1027">
        <f>Février!F52</f>
        <v/>
      </c>
      <c r="D30" s="1027">
        <f>Mars!F52</f>
        <v/>
      </c>
      <c r="E30" s="1027">
        <f>Avril!F52</f>
        <v/>
      </c>
      <c r="F30" s="1027">
        <f>Mai!F52</f>
        <v/>
      </c>
      <c r="G30" s="1027">
        <f>Juin!F52</f>
        <v/>
      </c>
      <c r="H30" s="1027">
        <f>Juillet!F52</f>
        <v/>
      </c>
      <c r="I30" s="1027">
        <f>Aout!F52</f>
        <v/>
      </c>
      <c r="J30" s="1027">
        <f>Septembre!F52</f>
        <v/>
      </c>
      <c r="K30" s="1029">
        <f>Octobre!F52</f>
        <v/>
      </c>
      <c r="L30" s="1029">
        <f>Novembre!F52</f>
        <v/>
      </c>
      <c r="M30" s="1030">
        <f>Décembre!F52</f>
        <v/>
      </c>
    </row>
    <row r="31">
      <c r="A31" s="57" t="inlineStr">
        <is>
          <t>Aérien</t>
        </is>
      </c>
      <c r="B31" s="1027">
        <f>Janvier!I52</f>
        <v/>
      </c>
      <c r="C31" s="1027">
        <f>Février!I52</f>
        <v/>
      </c>
      <c r="D31" s="1027">
        <f>Mars!I52</f>
        <v/>
      </c>
      <c r="E31" s="1027">
        <f>Avril!I52</f>
        <v/>
      </c>
      <c r="F31" s="1027">
        <f>Mai!I52</f>
        <v/>
      </c>
      <c r="G31" s="1027">
        <f>Juin!I52</f>
        <v/>
      </c>
      <c r="H31" s="1027">
        <f>Juillet!I52</f>
        <v/>
      </c>
      <c r="I31" s="1027">
        <f>Aout!I52</f>
        <v/>
      </c>
      <c r="J31" s="1027">
        <f>Septembre!I52</f>
        <v/>
      </c>
      <c r="K31" s="1029">
        <f>Octobre!I52</f>
        <v/>
      </c>
      <c r="L31" s="1029">
        <f>Novembre!I52</f>
        <v/>
      </c>
      <c r="M31" s="1030">
        <f>Décembre!I52</f>
        <v/>
      </c>
    </row>
    <row r="32">
      <c r="A32" s="57" t="inlineStr">
        <is>
          <t>Export Maritime</t>
        </is>
      </c>
      <c r="B32" s="1027">
        <f>Janvier!J52</f>
        <v/>
      </c>
      <c r="C32" s="1027">
        <f>Février!J52</f>
        <v/>
      </c>
      <c r="D32" s="1027">
        <f>Mars!J52</f>
        <v/>
      </c>
      <c r="E32" s="1027">
        <f>Avril!J52</f>
        <v/>
      </c>
      <c r="F32" s="1027">
        <f>Mai!J52</f>
        <v/>
      </c>
      <c r="G32" s="1027">
        <f>Juin!J52</f>
        <v/>
      </c>
      <c r="H32" s="1027">
        <f>Juillet!J52</f>
        <v/>
      </c>
      <c r="I32" s="1027">
        <f>Aout!J52</f>
        <v/>
      </c>
      <c r="J32" s="1027">
        <f>Septembre!J52</f>
        <v/>
      </c>
      <c r="K32" s="1029">
        <f>Octobre!J52</f>
        <v/>
      </c>
      <c r="L32" s="1029">
        <f>Novembre!J52</f>
        <v/>
      </c>
      <c r="M32" s="1030">
        <f>Décembre!J52</f>
        <v/>
      </c>
    </row>
    <row r="33">
      <c r="A33" s="57" t="inlineStr">
        <is>
          <t>SIRT (dédié)</t>
        </is>
      </c>
      <c r="B33" s="1027">
        <f>Janvier!#REF!</f>
        <v/>
      </c>
      <c r="C33" s="1027">
        <f>Février!N52</f>
        <v/>
      </c>
      <c r="D33" s="1027">
        <f>Mars!K52</f>
        <v/>
      </c>
      <c r="E33" s="1027">
        <f>Avril!K52</f>
        <v/>
      </c>
      <c r="F33" s="1027">
        <f>Mai!K52</f>
        <v/>
      </c>
      <c r="G33" s="1027">
        <f>Juin!K52</f>
        <v/>
      </c>
      <c r="H33" s="1027">
        <f>Juillet!K52</f>
        <v/>
      </c>
      <c r="I33" s="1027">
        <f>Aout!K52</f>
        <v/>
      </c>
      <c r="J33" s="1027">
        <f>Septembre!K52</f>
        <v/>
      </c>
      <c r="K33" s="1029">
        <f>Octobre!K52</f>
        <v/>
      </c>
      <c r="L33" s="1029">
        <f>Novembre!K52</f>
        <v/>
      </c>
      <c r="M33" s="1030">
        <f>Décembre!K52</f>
        <v/>
      </c>
    </row>
    <row r="34">
      <c r="A34" s="57" t="n"/>
      <c r="M34" s="58" t="n"/>
    </row>
    <row r="35">
      <c r="A35" s="57" t="n"/>
      <c r="M35" s="58" t="n"/>
    </row>
    <row r="36">
      <c r="A36" s="57" t="n"/>
      <c r="M36" s="58" t="n"/>
    </row>
    <row r="37">
      <c r="A37" s="57" t="n"/>
      <c r="M37" s="58" t="n"/>
    </row>
    <row r="38">
      <c r="A38" s="57" t="n"/>
      <c r="M38" s="58" t="n"/>
    </row>
    <row r="39">
      <c r="A39" s="57" t="n"/>
      <c r="M39" s="58" t="n"/>
    </row>
    <row r="40">
      <c r="A40" s="57" t="n"/>
      <c r="M40" s="58" t="n"/>
    </row>
    <row r="41">
      <c r="A41" s="57" t="n"/>
      <c r="M41" s="58" t="n"/>
    </row>
    <row r="42">
      <c r="A42" s="57" t="n"/>
      <c r="M42" s="58" t="n"/>
    </row>
    <row r="43">
      <c r="A43" s="57" t="n"/>
      <c r="M43" s="58" t="n"/>
    </row>
    <row r="44">
      <c r="A44" s="57" t="n"/>
      <c r="M44" s="58" t="n"/>
    </row>
    <row r="45">
      <c r="A45" s="57" t="n"/>
      <c r="M45" s="58" t="n"/>
    </row>
    <row r="46">
      <c r="A46" s="57" t="n"/>
      <c r="M46" s="58" t="n"/>
    </row>
    <row r="47">
      <c r="A47" s="57" t="n"/>
      <c r="M47" s="58" t="n"/>
    </row>
    <row r="48">
      <c r="A48" s="57" t="n"/>
      <c r="M48" s="58" t="n"/>
    </row>
    <row r="49">
      <c r="A49" s="57" t="n"/>
      <c r="M49" s="58" t="n"/>
    </row>
    <row r="50">
      <c r="A50" s="57" t="n"/>
      <c r="M50" s="58" t="n"/>
    </row>
    <row r="51">
      <c r="A51" s="57" t="n"/>
      <c r="M51" s="58" t="n"/>
    </row>
    <row r="52" ht="15" customHeight="1" thickBot="1">
      <c r="A52" s="59" t="n"/>
      <c r="B52" s="60" t="n"/>
      <c r="C52" s="60" t="n"/>
      <c r="D52" s="60" t="n"/>
      <c r="E52" s="60" t="n"/>
      <c r="F52" s="60" t="n"/>
      <c r="G52" s="60" t="n"/>
      <c r="H52" s="60" t="n"/>
      <c r="I52" s="60" t="n"/>
      <c r="J52" s="60" t="n"/>
      <c r="K52" s="60" t="n"/>
      <c r="L52" s="60" t="n"/>
      <c r="M52" s="61" t="n"/>
    </row>
    <row r="53" ht="15" customHeight="1" thickBot="1">
      <c r="A53" s="125" t="n"/>
      <c r="B53" s="126" t="n"/>
      <c r="C53" s="126" t="n"/>
      <c r="D53" s="126" t="n"/>
      <c r="E53" s="126" t="n"/>
      <c r="F53" s="126" t="n"/>
      <c r="G53" s="126" t="n"/>
      <c r="H53" s="126" t="n"/>
      <c r="I53" s="126" t="n"/>
      <c r="J53" s="126" t="n"/>
      <c r="K53" s="126" t="n"/>
      <c r="L53" s="126" t="n"/>
      <c r="M53" s="127" t="n"/>
    </row>
    <row r="54">
      <c r="A54" s="1024" t="inlineStr">
        <is>
          <t>Volume de CA généré par les Dpt sur l'activité O&amp;G (FCFA)</t>
        </is>
      </c>
      <c r="B54" s="1008" t="n"/>
      <c r="C54" s="1008" t="n"/>
      <c r="D54" s="1008" t="n"/>
      <c r="E54" s="1008" t="n"/>
      <c r="F54" s="1008" t="n"/>
      <c r="G54" s="1008" t="n"/>
      <c r="H54" s="1008" t="n"/>
      <c r="I54" s="1008" t="n"/>
      <c r="J54" s="1008" t="n"/>
      <c r="K54" s="1008" t="n"/>
      <c r="L54" s="1008" t="n"/>
      <c r="M54" s="1009" t="n"/>
    </row>
    <row r="55">
      <c r="A55" s="62" t="inlineStr">
        <is>
          <t>Département</t>
        </is>
      </c>
      <c r="B55" s="63" t="inlineStr">
        <is>
          <t>Janvier</t>
        </is>
      </c>
      <c r="C55" s="63" t="inlineStr">
        <is>
          <t>Février</t>
        </is>
      </c>
      <c r="D55" s="63" t="inlineStr">
        <is>
          <t>Mars</t>
        </is>
      </c>
      <c r="E55" s="63" t="inlineStr">
        <is>
          <t>Avril</t>
        </is>
      </c>
      <c r="F55" s="63" t="inlineStr">
        <is>
          <t>Mai</t>
        </is>
      </c>
      <c r="G55" s="63" t="inlineStr">
        <is>
          <t>Juin</t>
        </is>
      </c>
      <c r="H55" s="63" t="inlineStr">
        <is>
          <t>Juillet</t>
        </is>
      </c>
      <c r="I55" s="63" t="inlineStr">
        <is>
          <t>Août</t>
        </is>
      </c>
      <c r="J55" s="63" t="inlineStr">
        <is>
          <t>Septembre</t>
        </is>
      </c>
      <c r="K55" s="63" t="inlineStr">
        <is>
          <t>Octobre</t>
        </is>
      </c>
      <c r="L55" s="63" t="inlineStr">
        <is>
          <t>Novembre</t>
        </is>
      </c>
      <c r="M55" s="64" t="inlineStr">
        <is>
          <t>Décembre</t>
        </is>
      </c>
    </row>
    <row r="56">
      <c r="A56" s="57" t="inlineStr">
        <is>
          <t>Import Maritime</t>
        </is>
      </c>
      <c r="B56" s="1027">
        <f>Janvier!E51</f>
        <v/>
      </c>
      <c r="C56" s="1027">
        <f>Février!E51</f>
        <v/>
      </c>
      <c r="D56" s="1027">
        <f>Mars!E51</f>
        <v/>
      </c>
      <c r="E56" s="1027">
        <f>Avril!E51</f>
        <v/>
      </c>
      <c r="F56" s="1027">
        <f>Mai!E51</f>
        <v/>
      </c>
      <c r="G56" s="1027">
        <f>Juin!E51</f>
        <v/>
      </c>
      <c r="H56" s="1027">
        <f>Juillet!E51</f>
        <v/>
      </c>
      <c r="I56" s="1027">
        <f>Aout!E51</f>
        <v/>
      </c>
      <c r="J56" s="1027">
        <f>Septembre!E51</f>
        <v/>
      </c>
      <c r="K56" s="1027">
        <f>Octobre!E51</f>
        <v/>
      </c>
      <c r="L56" s="1027">
        <f>Novembre!E51</f>
        <v/>
      </c>
      <c r="M56" s="1028">
        <f>Décembre!E51</f>
        <v/>
      </c>
    </row>
    <row r="57">
      <c r="A57" s="57" t="inlineStr">
        <is>
          <t>Hinterland</t>
        </is>
      </c>
      <c r="B57" s="1027">
        <f>Janvier!F51</f>
        <v/>
      </c>
      <c r="C57" s="1027">
        <f>Février!F51</f>
        <v/>
      </c>
      <c r="D57" s="1027">
        <f>Mars!F51</f>
        <v/>
      </c>
      <c r="E57" s="1027">
        <f>Avril!F51</f>
        <v/>
      </c>
      <c r="F57" s="1027">
        <f>Mai!F51</f>
        <v/>
      </c>
      <c r="G57" s="1027">
        <f>Juin!F51</f>
        <v/>
      </c>
      <c r="H57" s="1027">
        <f>Juillet!F51</f>
        <v/>
      </c>
      <c r="I57" s="1027">
        <f>Aout!F51</f>
        <v/>
      </c>
      <c r="J57" s="1027">
        <f>Septembre!F51</f>
        <v/>
      </c>
      <c r="K57" s="1029">
        <f>Octobre!F51</f>
        <v/>
      </c>
      <c r="L57" s="1029">
        <f>Novembre!F51</f>
        <v/>
      </c>
      <c r="M57" s="1030">
        <f>Décembre!F51</f>
        <v/>
      </c>
    </row>
    <row r="58">
      <c r="A58" s="57" t="inlineStr">
        <is>
          <t>Aérien</t>
        </is>
      </c>
      <c r="B58" s="1027">
        <f>Janvier!I51</f>
        <v/>
      </c>
      <c r="C58" s="1027">
        <f>Février!I51</f>
        <v/>
      </c>
      <c r="D58" s="1027">
        <f>Mars!I51</f>
        <v/>
      </c>
      <c r="E58" s="1027">
        <f>Avril!I51</f>
        <v/>
      </c>
      <c r="F58" s="1027">
        <f>Mai!I51</f>
        <v/>
      </c>
      <c r="G58" s="1027">
        <f>Juin!I51</f>
        <v/>
      </c>
      <c r="H58" s="1027">
        <f>Juillet!I51</f>
        <v/>
      </c>
      <c r="I58" s="1027">
        <f>Aout!I51</f>
        <v/>
      </c>
      <c r="J58" s="1027">
        <f>Septembre!I51</f>
        <v/>
      </c>
      <c r="K58" s="1029">
        <f>Octobre!I51</f>
        <v/>
      </c>
      <c r="L58" s="1029">
        <f>Novembre!I51</f>
        <v/>
      </c>
      <c r="M58" s="1030">
        <f>Décembre!I51</f>
        <v/>
      </c>
    </row>
    <row r="59">
      <c r="A59" s="57" t="inlineStr">
        <is>
          <t>Export Maritime</t>
        </is>
      </c>
      <c r="B59" s="1027">
        <f>Janvier!J51</f>
        <v/>
      </c>
      <c r="C59" s="1027">
        <f>Février!J51</f>
        <v/>
      </c>
      <c r="D59" s="1027">
        <f>Mars!J51</f>
        <v/>
      </c>
      <c r="E59" s="1027">
        <f>Avril!J51</f>
        <v/>
      </c>
      <c r="F59" s="1027">
        <f>Mai!J51</f>
        <v/>
      </c>
      <c r="G59" s="1027">
        <f>Juin!J51</f>
        <v/>
      </c>
      <c r="H59" s="1027">
        <f>Juillet!J51</f>
        <v/>
      </c>
      <c r="I59" s="1027">
        <f>Aout!J51</f>
        <v/>
      </c>
      <c r="J59" s="1027">
        <f>Septembre!J51</f>
        <v/>
      </c>
      <c r="K59" s="1029">
        <f>Octobre!J51</f>
        <v/>
      </c>
      <c r="L59" s="1029">
        <f>Novembre!J51</f>
        <v/>
      </c>
      <c r="M59" s="1030">
        <f>Décembre!J51</f>
        <v/>
      </c>
    </row>
    <row r="60">
      <c r="A60" s="57" t="inlineStr">
        <is>
          <t>CA BASE</t>
        </is>
      </c>
      <c r="B60" s="1027" t="n">
        <v>333829612</v>
      </c>
      <c r="C60" s="1027" t="n">
        <v>205124188</v>
      </c>
      <c r="D60" s="1027" t="n">
        <v>292894213</v>
      </c>
      <c r="E60" s="1027" t="n">
        <v>319413776</v>
      </c>
      <c r="F60" s="1027" t="n">
        <v>225715537</v>
      </c>
      <c r="G60" s="1027" t="n">
        <v>207075389</v>
      </c>
      <c r="H60" s="1027" t="n">
        <v>295412277</v>
      </c>
      <c r="I60" s="1027" t="n">
        <v>224962510</v>
      </c>
      <c r="J60" s="1027" t="n">
        <v>281259944</v>
      </c>
      <c r="K60" s="1029" t="n">
        <v>292800598</v>
      </c>
      <c r="L60" s="1029" t="n">
        <v>527147802</v>
      </c>
      <c r="M60" s="1030" t="n">
        <v>398175063</v>
      </c>
    </row>
    <row r="61">
      <c r="A61" s="57" t="n"/>
      <c r="M61" s="58" t="n"/>
    </row>
    <row r="62">
      <c r="A62" s="57" t="n"/>
      <c r="M62" s="58" t="n"/>
    </row>
    <row r="63">
      <c r="A63" s="57" t="n"/>
      <c r="M63" s="58" t="n"/>
    </row>
    <row r="64">
      <c r="A64" s="57" t="n"/>
      <c r="M64" s="58" t="n"/>
    </row>
    <row r="65">
      <c r="A65" s="57" t="n"/>
      <c r="M65" s="58" t="n"/>
    </row>
    <row r="66">
      <c r="A66" s="57" t="n"/>
      <c r="M66" s="58" t="n"/>
    </row>
    <row r="67">
      <c r="A67" s="57" t="n"/>
      <c r="M67" s="58" t="n"/>
    </row>
    <row r="68">
      <c r="A68" s="57" t="n"/>
      <c r="M68" s="58" t="n"/>
    </row>
    <row r="69">
      <c r="A69" s="57" t="n"/>
      <c r="M69" s="58" t="n"/>
    </row>
    <row r="70">
      <c r="A70" s="57" t="n"/>
      <c r="M70" s="58" t="n"/>
    </row>
    <row r="71">
      <c r="A71" s="57" t="n"/>
      <c r="M71" s="58" t="n"/>
    </row>
    <row r="72">
      <c r="A72" s="57" t="n"/>
      <c r="M72" s="58" t="n"/>
    </row>
    <row r="73">
      <c r="A73" s="57" t="n"/>
      <c r="M73" s="58" t="n"/>
    </row>
    <row r="74">
      <c r="A74" s="57" t="n"/>
      <c r="M74" s="58" t="n"/>
    </row>
    <row r="75">
      <c r="A75" s="57" t="n"/>
      <c r="M75" s="58" t="n"/>
    </row>
    <row r="76">
      <c r="A76" s="57" t="n"/>
      <c r="M76" s="58" t="n"/>
    </row>
    <row r="77">
      <c r="A77" s="57" t="n"/>
      <c r="M77" s="58" t="n"/>
    </row>
    <row r="78">
      <c r="A78" s="57" t="n"/>
      <c r="M78" s="58" t="n"/>
    </row>
    <row r="79" ht="15" customHeight="1" thickBot="1">
      <c r="A79" s="59" t="n"/>
      <c r="B79" s="60" t="n"/>
      <c r="C79" s="60" t="n"/>
      <c r="D79" s="60" t="n"/>
      <c r="E79" s="60" t="n"/>
      <c r="F79" s="60" t="n"/>
      <c r="G79" s="60" t="n"/>
      <c r="H79" s="60" t="n"/>
      <c r="I79" s="60" t="n"/>
      <c r="J79" s="60" t="n"/>
      <c r="K79" s="60" t="n"/>
      <c r="L79" s="60" t="n"/>
      <c r="M79" s="61" t="n"/>
    </row>
    <row r="80" ht="15" customHeight="1" thickBot="1">
      <c r="A80" s="125" t="n"/>
      <c r="B80" s="126" t="n"/>
      <c r="C80" s="126" t="n"/>
      <c r="D80" s="126" t="n"/>
      <c r="E80" s="126" t="n"/>
      <c r="F80" s="126" t="n"/>
      <c r="G80" s="126" t="n"/>
      <c r="H80" s="126" t="n"/>
      <c r="I80" s="126" t="n"/>
      <c r="J80" s="126" t="n"/>
      <c r="K80" s="126" t="n"/>
      <c r="L80" s="126" t="n"/>
      <c r="M80" s="127" t="n"/>
    </row>
    <row r="81">
      <c r="A81" s="1024" t="inlineStr">
        <is>
          <t>Evolution CA Base O&amp;G (FCFA)</t>
        </is>
      </c>
      <c r="B81" s="1008" t="n"/>
      <c r="C81" s="1008" t="n"/>
      <c r="D81" s="1008" t="n"/>
      <c r="E81" s="1008" t="n"/>
      <c r="F81" s="1008" t="n"/>
      <c r="G81" s="1008" t="n"/>
      <c r="H81" s="1008" t="n"/>
      <c r="I81" s="1008" t="n"/>
      <c r="J81" s="1008" t="n"/>
      <c r="K81" s="1008" t="n"/>
      <c r="L81" s="1008" t="n"/>
      <c r="M81" s="1009" t="n"/>
    </row>
    <row r="82">
      <c r="A82" s="62" t="inlineStr">
        <is>
          <t>Section</t>
        </is>
      </c>
      <c r="B82" s="63" t="inlineStr">
        <is>
          <t>Janvier</t>
        </is>
      </c>
      <c r="C82" s="63" t="inlineStr">
        <is>
          <t>Février</t>
        </is>
      </c>
      <c r="D82" s="63" t="inlineStr">
        <is>
          <t>Mars</t>
        </is>
      </c>
      <c r="E82" s="63" t="inlineStr">
        <is>
          <t>Avril</t>
        </is>
      </c>
      <c r="F82" s="63" t="inlineStr">
        <is>
          <t>Mai</t>
        </is>
      </c>
      <c r="G82" s="63" t="inlineStr">
        <is>
          <t>Juin</t>
        </is>
      </c>
      <c r="H82" s="63" t="inlineStr">
        <is>
          <t>Juillet</t>
        </is>
      </c>
      <c r="I82" s="63" t="inlineStr">
        <is>
          <t>Août</t>
        </is>
      </c>
      <c r="J82" s="63" t="inlineStr">
        <is>
          <t>Septembre</t>
        </is>
      </c>
      <c r="K82" s="63" t="inlineStr">
        <is>
          <t>Octobre</t>
        </is>
      </c>
      <c r="L82" s="63" t="inlineStr">
        <is>
          <t>Novembre</t>
        </is>
      </c>
      <c r="M82" s="64" t="inlineStr">
        <is>
          <t>Décembre</t>
        </is>
      </c>
    </row>
    <row r="83">
      <c r="A83" s="57" t="inlineStr">
        <is>
          <t>Loyers</t>
        </is>
      </c>
      <c r="B83" s="1027">
        <f>Janvier!B51</f>
        <v/>
      </c>
      <c r="C83" s="1027">
        <f>Février!B51</f>
        <v/>
      </c>
      <c r="D83" s="1027">
        <f>Mars!B51</f>
        <v/>
      </c>
      <c r="E83" s="1027">
        <f>Avril!B51</f>
        <v/>
      </c>
      <c r="F83" s="1027">
        <f>Mai!B51</f>
        <v/>
      </c>
      <c r="G83" s="1027">
        <f>Juin!B51</f>
        <v/>
      </c>
      <c r="H83" s="1027">
        <f>Juillet!B51</f>
        <v/>
      </c>
      <c r="I83" s="1027">
        <f>Aout!B51</f>
        <v/>
      </c>
      <c r="J83" s="1027">
        <f>Septembre!B51</f>
        <v/>
      </c>
      <c r="K83" s="1027">
        <f>Octobre!B51</f>
        <v/>
      </c>
      <c r="L83" s="1027">
        <f>Novembre!B51</f>
        <v/>
      </c>
      <c r="M83" s="1028">
        <f>Décembre!B51</f>
        <v/>
      </c>
    </row>
    <row r="84">
      <c r="A84" s="57" t="inlineStr">
        <is>
          <t>Log &amp; Divers</t>
        </is>
      </c>
      <c r="B84" s="1027">
        <f>Janvier!C51</f>
        <v/>
      </c>
      <c r="C84" s="1027">
        <f>Février!C51</f>
        <v/>
      </c>
      <c r="D84" s="1027">
        <f>Mars!C51</f>
        <v/>
      </c>
      <c r="E84" s="1027">
        <f>Avril!C51</f>
        <v/>
      </c>
      <c r="F84" s="1027">
        <f>Mai!C51</f>
        <v/>
      </c>
      <c r="G84" s="1027">
        <f>Juin!C51</f>
        <v/>
      </c>
      <c r="H84" s="1027">
        <f>Juillet!C51</f>
        <v/>
      </c>
      <c r="I84" s="1027">
        <f>Aout!C51</f>
        <v/>
      </c>
      <c r="J84" s="1027">
        <f>Septembre!C51</f>
        <v/>
      </c>
      <c r="K84" s="1029">
        <f>Octobre!C51</f>
        <v/>
      </c>
      <c r="L84" s="1029">
        <f>Novembre!C51</f>
        <v/>
      </c>
      <c r="M84" s="1030">
        <f>Décembre!C51</f>
        <v/>
      </c>
    </row>
    <row r="85">
      <c r="A85" s="57" t="inlineStr">
        <is>
          <t>Rétrocession</t>
        </is>
      </c>
      <c r="B85" s="1027">
        <f>Janvier!N52</f>
        <v/>
      </c>
      <c r="C85" s="1027">
        <f>Février!O52</f>
        <v/>
      </c>
      <c r="D85" s="1027">
        <f>Mars!L52</f>
        <v/>
      </c>
      <c r="E85" s="1027">
        <f>Avril!L52</f>
        <v/>
      </c>
      <c r="F85" s="1027">
        <f>Mai!L52</f>
        <v/>
      </c>
      <c r="G85" s="1027">
        <f>Juin!L52</f>
        <v/>
      </c>
      <c r="H85" s="1027">
        <f>Juillet!L52</f>
        <v/>
      </c>
      <c r="I85" s="1027">
        <f>Aout!L52</f>
        <v/>
      </c>
      <c r="J85" s="1027">
        <f>Septembre!L52</f>
        <v/>
      </c>
      <c r="K85" s="1029">
        <f>Octobre!L52</f>
        <v/>
      </c>
      <c r="L85" s="1029">
        <f>Novembre!L52</f>
        <v/>
      </c>
      <c r="M85" s="1030">
        <f>Décembre!L52</f>
        <v/>
      </c>
    </row>
    <row r="86">
      <c r="A86" s="113" t="inlineStr">
        <is>
          <t>CA BASE</t>
        </is>
      </c>
      <c r="B86" s="1031">
        <f>SUBTOTAL(109,B83:B85)</f>
        <v/>
      </c>
      <c r="C86" s="1031">
        <f>SUBTOTAL(109,C83:C85)</f>
        <v/>
      </c>
      <c r="D86" s="1031">
        <f>SUBTOTAL(109,D83:D85)</f>
        <v/>
      </c>
      <c r="E86" s="1031">
        <f>SUBTOTAL(109,E83:E85)</f>
        <v/>
      </c>
      <c r="F86" s="1031">
        <f>SUBTOTAL(109,F83:F85)</f>
        <v/>
      </c>
      <c r="G86" s="1031">
        <f>SUBTOTAL(109,G83:G85)</f>
        <v/>
      </c>
      <c r="H86" s="1031">
        <f>SUBTOTAL(109,H83:H85)</f>
        <v/>
      </c>
      <c r="I86" s="1031">
        <f>SUBTOTAL(109,I83:I85)</f>
        <v/>
      </c>
      <c r="J86" s="1031">
        <f>SUBTOTAL(109,J83:J85)</f>
        <v/>
      </c>
      <c r="K86" s="1031">
        <f>SUBTOTAL(109,K83:K85)</f>
        <v/>
      </c>
      <c r="L86" s="1031">
        <f>SUBTOTAL(109,L83:L85)</f>
        <v/>
      </c>
      <c r="M86" s="1032">
        <f>SUBTOTAL(109,M83:M85)</f>
        <v/>
      </c>
    </row>
    <row r="87">
      <c r="A87" s="57" t="n"/>
      <c r="M87" s="58" t="n"/>
    </row>
    <row r="88">
      <c r="A88" s="57" t="n"/>
      <c r="M88" s="58" t="n"/>
    </row>
    <row r="89">
      <c r="A89" s="57" t="n"/>
      <c r="M89" s="58" t="n"/>
    </row>
    <row r="90">
      <c r="A90" s="57" t="n"/>
      <c r="M90" s="58" t="n"/>
    </row>
    <row r="91">
      <c r="A91" s="57" t="n"/>
      <c r="M91" s="58" t="n"/>
    </row>
    <row r="92">
      <c r="A92" s="57" t="n"/>
      <c r="M92" s="58" t="n"/>
    </row>
    <row r="93">
      <c r="A93" s="57" t="n"/>
      <c r="M93" s="58" t="n"/>
    </row>
    <row r="94">
      <c r="A94" s="57" t="n"/>
      <c r="M94" s="58" t="n"/>
    </row>
    <row r="95">
      <c r="A95" s="57" t="n"/>
      <c r="M95" s="58" t="n"/>
    </row>
    <row r="96">
      <c r="A96" s="57" t="n"/>
      <c r="M96" s="58" t="n"/>
    </row>
    <row r="97">
      <c r="A97" s="57" t="n"/>
      <c r="M97" s="58" t="n"/>
    </row>
    <row r="98">
      <c r="A98" s="57" t="n"/>
      <c r="M98" s="58" t="n"/>
    </row>
    <row r="99">
      <c r="A99" s="57" t="n"/>
      <c r="M99" s="58" t="n"/>
    </row>
    <row r="100">
      <c r="A100" s="57" t="n"/>
      <c r="M100" s="58" t="n"/>
    </row>
    <row r="101">
      <c r="A101" s="57" t="n"/>
      <c r="M101" s="58" t="n"/>
    </row>
    <row r="102">
      <c r="A102" s="57" t="n"/>
      <c r="M102" s="58" t="n"/>
    </row>
    <row r="103">
      <c r="A103" s="57" t="n"/>
      <c r="M103" s="58" t="n"/>
    </row>
    <row r="104">
      <c r="A104" s="57" t="n"/>
      <c r="M104" s="58" t="n"/>
    </row>
    <row r="105" ht="15" customHeight="1" thickBot="1">
      <c r="A105" s="59" t="n"/>
      <c r="B105" s="60" t="n"/>
      <c r="C105" s="60" t="n"/>
      <c r="D105" s="60" t="n"/>
      <c r="E105" s="60" t="n"/>
      <c r="F105" s="60" t="n"/>
      <c r="G105" s="60" t="n"/>
      <c r="H105" s="60" t="n"/>
      <c r="I105" s="60" t="n"/>
      <c r="J105" s="60" t="n"/>
      <c r="K105" s="60" t="n"/>
      <c r="L105" s="60" t="n"/>
      <c r="M105" s="61" t="n"/>
    </row>
  </sheetData>
  <mergeCells count="4">
    <mergeCell ref="A81:M81"/>
    <mergeCell ref="A27:M27"/>
    <mergeCell ref="A2:M2"/>
    <mergeCell ref="A54:M54"/>
  </mergeCells>
  <pageMargins left="0.25" right="0.25" top="0.75" bottom="0.75" header="0.3" footer="0.3"/>
  <pageSetup orientation="portrait" paperSize="9" scale="48"/>
  <headerFooter>
    <oddHeader/>
    <oddFooter>&amp;L&amp;"Calibri"&amp;10 &amp;K000000_x000d_# Sensitivity: Internal</oddFooter>
    <evenHeader/>
    <evenFooter/>
    <firstHeader/>
    <firstFooter/>
  </headerFooter>
  <drawing xmlns:r="http://schemas.openxmlformats.org/officeDocument/2006/relationships" r:id="rId1"/>
  <tableParts count="4"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4.xml><?xml version="1.0" encoding="utf-8"?>
<worksheet xmlns="http://schemas.openxmlformats.org/spreadsheetml/2006/main">
  <sheetPr>
    <tabColor rgb="FFFF0000"/>
    <outlinePr summaryBelow="1" summaryRight="1"/>
    <pageSetUpPr/>
  </sheetPr>
  <dimension ref="A4:N119"/>
  <sheetViews>
    <sheetView workbookViewId="0">
      <selection activeCell="E14" sqref="E14"/>
    </sheetView>
  </sheetViews>
  <sheetFormatPr baseColWidth="10" defaultRowHeight="14.5"/>
  <cols>
    <col width="18.7265625" bestFit="1" customWidth="1" min="1" max="1"/>
    <col width="13.7265625" bestFit="1" customWidth="1" min="2" max="3"/>
    <col width="12.7265625" bestFit="1" customWidth="1" min="4" max="4"/>
    <col width="13.453125" customWidth="1" min="5" max="5"/>
    <col width="12.7265625" bestFit="1" customWidth="1" min="6" max="6"/>
    <col hidden="1" width="12.7265625" customWidth="1" min="7" max="7"/>
    <col width="12.7265625" bestFit="1" customWidth="1" min="8" max="8"/>
    <col hidden="1" min="9" max="9"/>
    <col width="12.7265625" bestFit="1" customWidth="1" min="10" max="10"/>
    <col width="14.81640625" bestFit="1" customWidth="1" min="11" max="11"/>
    <col width="15" bestFit="1" customWidth="1" min="12" max="12"/>
    <col width="15" bestFit="1" customWidth="1" style="645" min="13" max="13"/>
  </cols>
  <sheetData>
    <row r="4">
      <c r="A4" s="539" t="inlineStr">
        <is>
          <t>Anadarko</t>
        </is>
      </c>
      <c r="B4" s="655" t="inlineStr">
        <is>
          <t xml:space="preserve">Logistique </t>
        </is>
      </c>
      <c r="C4" s="655" t="inlineStr">
        <is>
          <t>IMAR</t>
        </is>
      </c>
      <c r="D4" s="1033" t="inlineStr">
        <is>
          <t>HINT</t>
        </is>
      </c>
      <c r="E4" s="1034" t="inlineStr">
        <is>
          <t>IAER</t>
        </is>
      </c>
      <c r="F4" s="1034" t="inlineStr">
        <is>
          <t>EAER</t>
        </is>
      </c>
      <c r="G4" s="1033" t="inlineStr">
        <is>
          <t>AERIEN</t>
        </is>
      </c>
      <c r="H4" s="1033" t="inlineStr">
        <is>
          <t>EXPORT</t>
        </is>
      </c>
      <c r="I4" s="1033" t="inlineStr">
        <is>
          <t>SIRT</t>
        </is>
      </c>
      <c r="J4" s="1033" t="inlineStr">
        <is>
          <t>Afritramp</t>
        </is>
      </c>
      <c r="K4" s="1033" t="inlineStr">
        <is>
          <t>Meet &amp; Greet</t>
        </is>
      </c>
      <c r="L4" s="1035" t="inlineStr">
        <is>
          <t>Total mensuel</t>
        </is>
      </c>
      <c r="M4" s="1036" t="inlineStr">
        <is>
          <t>Total mensuel</t>
        </is>
      </c>
      <c r="N4" s="1037" t="inlineStr">
        <is>
          <t>Cumul</t>
        </is>
      </c>
    </row>
    <row r="5">
      <c r="A5" s="2" t="inlineStr">
        <is>
          <t>Janvier</t>
        </is>
      </c>
      <c r="B5" s="1038">
        <f>Janvier!D$6</f>
        <v/>
      </c>
      <c r="C5" s="1039">
        <f>Janvier!E$6</f>
        <v/>
      </c>
      <c r="D5" s="1039">
        <f>Janvier!F$6</f>
        <v/>
      </c>
      <c r="E5" s="1039">
        <f>Janvier!G$6</f>
        <v/>
      </c>
      <c r="F5" s="1039">
        <f>Janvier!H$6</f>
        <v/>
      </c>
      <c r="G5" s="1039">
        <f>Janvier!I$6</f>
        <v/>
      </c>
      <c r="H5" s="1039">
        <f>Janvier!J$6</f>
        <v/>
      </c>
      <c r="I5" s="1039">
        <f>Janvier!K$6</f>
        <v/>
      </c>
      <c r="J5" s="1039">
        <f>Janvier!L$6</f>
        <v/>
      </c>
      <c r="K5" s="1039">
        <f>Janvier!M$6</f>
        <v/>
      </c>
      <c r="L5" s="1040">
        <f>B5+C5+D5+E5+F5+H5+J5+K5</f>
        <v/>
      </c>
      <c r="M5" s="647">
        <f>L5/655.957</f>
        <v/>
      </c>
      <c r="N5" s="659">
        <f>M5</f>
        <v/>
      </c>
    </row>
    <row r="6">
      <c r="A6" s="2" t="inlineStr">
        <is>
          <t>Février</t>
        </is>
      </c>
      <c r="B6" s="1038">
        <f>Février!D6</f>
        <v/>
      </c>
      <c r="C6" s="1039">
        <f>Février!E6</f>
        <v/>
      </c>
      <c r="D6" s="1039">
        <f>Février!F6</f>
        <v/>
      </c>
      <c r="E6" s="1039">
        <f>Février!G6</f>
        <v/>
      </c>
      <c r="F6" s="1039">
        <f>Février!H6</f>
        <v/>
      </c>
      <c r="G6" s="1039">
        <f>Février!I6</f>
        <v/>
      </c>
      <c r="H6" s="1039">
        <f>Février!J6</f>
        <v/>
      </c>
      <c r="I6" s="1039">
        <f>Février!K6</f>
        <v/>
      </c>
      <c r="J6" s="1039">
        <f>Février!L6</f>
        <v/>
      </c>
      <c r="K6" s="1039">
        <f>Février!M6</f>
        <v/>
      </c>
      <c r="L6" s="1040">
        <f>B6+C6+D6+E6+F6+H6+J6+K6</f>
        <v/>
      </c>
      <c r="M6" s="647">
        <f>L6/655.957</f>
        <v/>
      </c>
      <c r="N6" s="659">
        <f>N5+M6</f>
        <v/>
      </c>
    </row>
    <row r="7">
      <c r="A7" s="2" t="inlineStr">
        <is>
          <t>Mars</t>
        </is>
      </c>
      <c r="B7" s="1038">
        <f>Mars!D6</f>
        <v/>
      </c>
      <c r="C7" s="1039">
        <f>Mars!E6</f>
        <v/>
      </c>
      <c r="D7" s="1039">
        <f>Mars!F6</f>
        <v/>
      </c>
      <c r="E7" s="1039">
        <f>Mars!G6</f>
        <v/>
      </c>
      <c r="F7" s="1039">
        <f>Mars!H6</f>
        <v/>
      </c>
      <c r="G7" s="1039">
        <f>Mars!I6</f>
        <v/>
      </c>
      <c r="H7" s="1039">
        <f>Mars!J6</f>
        <v/>
      </c>
      <c r="I7" s="1039">
        <f>Mars!K6</f>
        <v/>
      </c>
      <c r="J7" s="1039">
        <f>Mars!L6</f>
        <v/>
      </c>
      <c r="K7" s="1039">
        <f>Mars!M6</f>
        <v/>
      </c>
      <c r="L7" s="1040">
        <f>B7+C7+D7+E7+F7+H7+J7+K7</f>
        <v/>
      </c>
      <c r="M7" s="647">
        <f>L7/655.957</f>
        <v/>
      </c>
      <c r="N7" s="659">
        <f>N6+M7</f>
        <v/>
      </c>
    </row>
    <row r="8">
      <c r="A8" s="2" t="inlineStr">
        <is>
          <t>Avril</t>
        </is>
      </c>
      <c r="B8" s="1039">
        <f>Avril!D6</f>
        <v/>
      </c>
      <c r="C8" s="1039">
        <f>Avril!E6</f>
        <v/>
      </c>
      <c r="D8" s="1039">
        <f>Avril!F6</f>
        <v/>
      </c>
      <c r="E8" s="1039">
        <f>Avril!G6</f>
        <v/>
      </c>
      <c r="F8" s="1039">
        <f>Avril!H6</f>
        <v/>
      </c>
      <c r="G8" s="1039">
        <f>Avril!I6</f>
        <v/>
      </c>
      <c r="H8" s="1039">
        <f>Avril!J6</f>
        <v/>
      </c>
      <c r="I8" s="1039">
        <f>Avril!K6</f>
        <v/>
      </c>
      <c r="J8" s="1039">
        <f>Avril!L6</f>
        <v/>
      </c>
      <c r="K8" s="1039">
        <f>Avril!M6</f>
        <v/>
      </c>
      <c r="L8" s="1040">
        <f>B8+C8+D8+E8+F8+H8+J8+K8</f>
        <v/>
      </c>
      <c r="M8" s="647">
        <f>L8/655.957</f>
        <v/>
      </c>
      <c r="N8" s="659">
        <f>N7+M8</f>
        <v/>
      </c>
    </row>
    <row r="9">
      <c r="A9" s="2" t="inlineStr">
        <is>
          <t>Mai</t>
        </is>
      </c>
      <c r="B9" s="1038">
        <f>Mai!D6</f>
        <v/>
      </c>
      <c r="C9" s="1038">
        <f>Mai!E6</f>
        <v/>
      </c>
      <c r="D9" s="1038">
        <f>Mai!F6</f>
        <v/>
      </c>
      <c r="E9" s="1038">
        <f>Mai!G6</f>
        <v/>
      </c>
      <c r="F9" s="1038">
        <f>Mai!H6</f>
        <v/>
      </c>
      <c r="G9" s="1038">
        <f>Mai!I6</f>
        <v/>
      </c>
      <c r="H9" s="1038">
        <f>Mai!J6</f>
        <v/>
      </c>
      <c r="I9" s="1038">
        <f>Mai!K6</f>
        <v/>
      </c>
      <c r="J9" s="1038">
        <f>Mai!L6</f>
        <v/>
      </c>
      <c r="K9" s="1038">
        <f>Mai!M6</f>
        <v/>
      </c>
      <c r="L9" s="1040">
        <f>B9+C9+D9+E9+F9+H9+J9+K9</f>
        <v/>
      </c>
      <c r="M9" s="647">
        <f>L9/655.957</f>
        <v/>
      </c>
      <c r="N9" s="659">
        <f>N8+M9</f>
        <v/>
      </c>
    </row>
    <row r="10">
      <c r="A10" s="2" t="inlineStr">
        <is>
          <t>Juin</t>
        </is>
      </c>
      <c r="B10" s="1038">
        <f>Juin!D6</f>
        <v/>
      </c>
      <c r="C10" s="1038">
        <f>Juin!E6</f>
        <v/>
      </c>
      <c r="D10" s="1038">
        <f>Juin!F6</f>
        <v/>
      </c>
      <c r="E10" s="1038">
        <f>Juin!G6</f>
        <v/>
      </c>
      <c r="F10" s="1038">
        <f>Juin!H6</f>
        <v/>
      </c>
      <c r="G10" s="1038">
        <f>Juin!I6</f>
        <v/>
      </c>
      <c r="H10" s="1038">
        <f>Juin!J6</f>
        <v/>
      </c>
      <c r="I10" s="1038">
        <f>Juin!K6</f>
        <v/>
      </c>
      <c r="J10" s="1038">
        <f>Juin!L6</f>
        <v/>
      </c>
      <c r="K10" s="1038">
        <f>Juin!M6</f>
        <v/>
      </c>
      <c r="L10" s="1040">
        <f>B10+C10+D10+E10+F10+H10+J10+K10</f>
        <v/>
      </c>
      <c r="M10" s="647">
        <f>L10/655.957</f>
        <v/>
      </c>
      <c r="N10" s="659">
        <f>N9+M10</f>
        <v/>
      </c>
    </row>
    <row r="11">
      <c r="A11" s="2" t="inlineStr">
        <is>
          <t>Juillet</t>
        </is>
      </c>
      <c r="B11" s="1038">
        <f>Juillet!D6</f>
        <v/>
      </c>
      <c r="C11" s="1038">
        <f>Juillet!E6</f>
        <v/>
      </c>
      <c r="D11" s="1038">
        <f>Juillet!F6</f>
        <v/>
      </c>
      <c r="E11" s="1038">
        <f>Juillet!G6</f>
        <v/>
      </c>
      <c r="F11" s="1038">
        <f>Juillet!H6</f>
        <v/>
      </c>
      <c r="G11" s="1038">
        <f>Juillet!I6</f>
        <v/>
      </c>
      <c r="H11" s="1038">
        <f>Juillet!J6</f>
        <v/>
      </c>
      <c r="I11" s="1038">
        <f>Juillet!K6</f>
        <v/>
      </c>
      <c r="J11" s="1038">
        <f>Juillet!L6</f>
        <v/>
      </c>
      <c r="K11" s="1038">
        <f>Juillet!M6</f>
        <v/>
      </c>
      <c r="L11" s="1040">
        <f>B11+C11+D11+E11+F11+H11+J11+K11</f>
        <v/>
      </c>
      <c r="M11" s="647">
        <f>L11/655.957</f>
        <v/>
      </c>
      <c r="N11" s="659">
        <f>N10+M11</f>
        <v/>
      </c>
    </row>
    <row r="12">
      <c r="A12" s="2" t="inlineStr">
        <is>
          <t>Août</t>
        </is>
      </c>
      <c r="B12" s="1038">
        <f>Aout!D6</f>
        <v/>
      </c>
      <c r="C12" s="1038">
        <f>Aout!E6</f>
        <v/>
      </c>
      <c r="D12" s="1038">
        <f>Aout!F6</f>
        <v/>
      </c>
      <c r="E12" s="1038">
        <f>Aout!G6</f>
        <v/>
      </c>
      <c r="F12" s="1038">
        <f>Aout!H6</f>
        <v/>
      </c>
      <c r="G12" s="1038">
        <f>Aout!I6</f>
        <v/>
      </c>
      <c r="H12" s="1038">
        <f>Aout!J6</f>
        <v/>
      </c>
      <c r="I12" s="1038">
        <f>Aout!K6</f>
        <v/>
      </c>
      <c r="J12" s="1038">
        <f>Aout!L6</f>
        <v/>
      </c>
      <c r="K12" s="1038">
        <f>Aout!M6</f>
        <v/>
      </c>
      <c r="L12" s="1040">
        <f>B12+C12+D12+E12+F12+H12+J12+K12</f>
        <v/>
      </c>
      <c r="M12" s="647">
        <f>L12/655.957</f>
        <v/>
      </c>
      <c r="N12" s="659">
        <f>N11+M12</f>
        <v/>
      </c>
    </row>
    <row r="13">
      <c r="A13" s="2" t="inlineStr">
        <is>
          <t>Septembre</t>
        </is>
      </c>
      <c r="B13" s="1038">
        <f>Septembre!D6</f>
        <v/>
      </c>
      <c r="C13" s="1038">
        <f>Septembre!E6</f>
        <v/>
      </c>
      <c r="D13" s="1038">
        <f>Septembre!F6</f>
        <v/>
      </c>
      <c r="E13" s="1038">
        <f>Septembre!G6</f>
        <v/>
      </c>
      <c r="F13" s="1038">
        <f>Septembre!H6</f>
        <v/>
      </c>
      <c r="G13" s="1038">
        <f>Septembre!I6</f>
        <v/>
      </c>
      <c r="H13" s="1038">
        <f>Septembre!J6</f>
        <v/>
      </c>
      <c r="I13" s="1038">
        <f>Septembre!K6</f>
        <v/>
      </c>
      <c r="J13" s="1038">
        <f>Septembre!L6</f>
        <v/>
      </c>
      <c r="K13" s="1038">
        <f>Septembre!M6</f>
        <v/>
      </c>
      <c r="L13" s="1040">
        <f>B13+C13+D13+E13+F13+H13+J13+K13</f>
        <v/>
      </c>
      <c r="M13" s="647">
        <f>L13/655.957</f>
        <v/>
      </c>
      <c r="N13" s="659">
        <f>N12+M13</f>
        <v/>
      </c>
    </row>
    <row r="14">
      <c r="A14" s="2" t="inlineStr">
        <is>
          <t>Octobre</t>
        </is>
      </c>
      <c r="B14" s="1038">
        <f>Octobre!D6</f>
        <v/>
      </c>
      <c r="C14" s="1038">
        <f>Octobre!E6</f>
        <v/>
      </c>
      <c r="D14" s="1038">
        <f>Octobre!F6</f>
        <v/>
      </c>
      <c r="E14" s="1038">
        <f>Octobre!G6</f>
        <v/>
      </c>
      <c r="F14" s="1038">
        <f>Octobre!H6</f>
        <v/>
      </c>
      <c r="G14" s="1038">
        <f>Octobre!I6</f>
        <v/>
      </c>
      <c r="H14" s="1038">
        <f>Octobre!J6</f>
        <v/>
      </c>
      <c r="I14" s="1038">
        <f>Octobre!K6</f>
        <v/>
      </c>
      <c r="J14" s="1038">
        <f>Octobre!L6</f>
        <v/>
      </c>
      <c r="K14" s="1038">
        <f>Octobre!M6</f>
        <v/>
      </c>
      <c r="L14" s="1040">
        <f>B14+C14+D14+E14+F14+H14+J14+K14</f>
        <v/>
      </c>
      <c r="M14" s="647">
        <f>L14/655.957</f>
        <v/>
      </c>
      <c r="N14" s="659">
        <f>N13+M14</f>
        <v/>
      </c>
    </row>
    <row r="15">
      <c r="A15" s="2" t="inlineStr">
        <is>
          <t>Novembre</t>
        </is>
      </c>
      <c r="B15" s="1038">
        <f>Novembre!D6</f>
        <v/>
      </c>
      <c r="C15" s="1038">
        <f>Novembre!E6</f>
        <v/>
      </c>
      <c r="D15" s="1038">
        <f>Novembre!F6</f>
        <v/>
      </c>
      <c r="E15" s="1038">
        <f>Novembre!G6</f>
        <v/>
      </c>
      <c r="F15" s="1038">
        <f>Novembre!H6</f>
        <v/>
      </c>
      <c r="G15" s="1038">
        <f>Novembre!I6</f>
        <v/>
      </c>
      <c r="H15" s="1038">
        <f>Novembre!J6</f>
        <v/>
      </c>
      <c r="I15" s="1038">
        <f>Novembre!K6</f>
        <v/>
      </c>
      <c r="J15" s="1038">
        <f>Novembre!L6</f>
        <v/>
      </c>
      <c r="K15" s="1038">
        <f>Novembre!M6</f>
        <v/>
      </c>
      <c r="L15" s="1040">
        <f>B15+C15+D15+E15+F15+H15+J15+K15</f>
        <v/>
      </c>
      <c r="M15" s="647">
        <f>L15/655.957</f>
        <v/>
      </c>
      <c r="N15" s="659">
        <f>N14+M15</f>
        <v/>
      </c>
    </row>
    <row r="16">
      <c r="A16" s="2" t="inlineStr">
        <is>
          <t>Décembre</t>
        </is>
      </c>
      <c r="B16" s="1038">
        <f>Décembre!D6</f>
        <v/>
      </c>
      <c r="C16" s="1038">
        <f>Décembre!E6</f>
        <v/>
      </c>
      <c r="D16" s="1038">
        <f>Décembre!F6</f>
        <v/>
      </c>
      <c r="E16" s="1038">
        <f>Décembre!G6</f>
        <v/>
      </c>
      <c r="F16" s="1038">
        <f>Décembre!H6</f>
        <v/>
      </c>
      <c r="G16" s="1038">
        <f>Décembre!I6</f>
        <v/>
      </c>
      <c r="H16" s="1038">
        <f>Décembre!J6</f>
        <v/>
      </c>
      <c r="I16" s="1038">
        <f>Décembre!K6</f>
        <v/>
      </c>
      <c r="J16" s="1038">
        <f>Décembre!L6</f>
        <v/>
      </c>
      <c r="K16" s="1038">
        <f>Décembre!M6</f>
        <v/>
      </c>
      <c r="L16" s="1040">
        <f>B16+C16+D16+E16+F16+H16+J16+K16</f>
        <v/>
      </c>
      <c r="M16" s="647">
        <f>L16/655.957</f>
        <v/>
      </c>
      <c r="N16" s="659">
        <f>N15+M16</f>
        <v/>
      </c>
    </row>
    <row r="17">
      <c r="A17" s="2" t="inlineStr">
        <is>
          <t>Total Annuel (FCFA)</t>
        </is>
      </c>
      <c r="B17" s="1040">
        <f>SUM(B5:B16)</f>
        <v/>
      </c>
      <c r="C17" s="1040">
        <f>SUM(C5:C16)</f>
        <v/>
      </c>
      <c r="D17" s="1040">
        <f>SUM(D5:D16)</f>
        <v/>
      </c>
      <c r="E17" s="1040">
        <f>SUM(E5:E16)</f>
        <v/>
      </c>
      <c r="F17" s="1040">
        <f>SUM(F5:F16)</f>
        <v/>
      </c>
      <c r="G17" s="1040">
        <f>SUM(G5:G16)</f>
        <v/>
      </c>
      <c r="H17" s="1040">
        <f>SUM(H5:H16)</f>
        <v/>
      </c>
      <c r="I17" s="1040">
        <f>SUM(I5:I16)</f>
        <v/>
      </c>
      <c r="J17" s="1040">
        <f>SUM(J5:J16)</f>
        <v/>
      </c>
      <c r="K17" s="1041">
        <f>SUM(K5:K16)</f>
        <v/>
      </c>
      <c r="L17" s="1040">
        <f>SUM(L5:L16)</f>
        <v/>
      </c>
      <c r="M17" s="648" t="n"/>
    </row>
    <row r="18">
      <c r="A18" s="2" t="inlineStr">
        <is>
          <t>Total (€)</t>
        </is>
      </c>
      <c r="B18" s="652">
        <f>B17/655.957</f>
        <v/>
      </c>
      <c r="C18" s="652">
        <f>C17/655.957</f>
        <v/>
      </c>
      <c r="D18" s="652">
        <f>D17/655.957</f>
        <v/>
      </c>
      <c r="E18" s="652">
        <f>E17/655.957</f>
        <v/>
      </c>
      <c r="F18" s="652">
        <f>F17/655.957</f>
        <v/>
      </c>
      <c r="G18" s="652">
        <f>G17/655.957</f>
        <v/>
      </c>
      <c r="H18" s="652">
        <f>H17/655.957</f>
        <v/>
      </c>
      <c r="I18" s="652">
        <f>I17/655.957</f>
        <v/>
      </c>
      <c r="J18" s="652">
        <f>J17/655.957</f>
        <v/>
      </c>
      <c r="K18" s="653">
        <f>K17/655.957</f>
        <v/>
      </c>
      <c r="L18" s="644" t="n"/>
      <c r="M18" s="647">
        <f>L17/655.957</f>
        <v/>
      </c>
    </row>
    <row r="21">
      <c r="A21" s="539" t="inlineStr">
        <is>
          <t>Baker Hughes</t>
        </is>
      </c>
      <c r="B21" s="655" t="inlineStr">
        <is>
          <t xml:space="preserve">Logistique </t>
        </is>
      </c>
      <c r="C21" s="655" t="inlineStr">
        <is>
          <t>IMAR</t>
        </is>
      </c>
      <c r="D21" s="1033" t="inlineStr">
        <is>
          <t>HINT</t>
        </is>
      </c>
      <c r="E21" s="1034" t="inlineStr">
        <is>
          <t>IAER</t>
        </is>
      </c>
      <c r="F21" s="1034" t="inlineStr">
        <is>
          <t>EAER</t>
        </is>
      </c>
      <c r="G21" s="1033" t="inlineStr">
        <is>
          <t>AERIEN</t>
        </is>
      </c>
      <c r="H21" s="1033" t="inlineStr">
        <is>
          <t>EXPORT</t>
        </is>
      </c>
      <c r="I21" s="1033" t="inlineStr">
        <is>
          <t>SIRT</t>
        </is>
      </c>
      <c r="J21" s="1033" t="inlineStr">
        <is>
          <t>Afritramp</t>
        </is>
      </c>
      <c r="K21" s="1033" t="inlineStr">
        <is>
          <t>Meet &amp; Greet</t>
        </is>
      </c>
      <c r="L21" s="1035" t="inlineStr">
        <is>
          <t>Total mensuel</t>
        </is>
      </c>
      <c r="M21" s="1036" t="inlineStr">
        <is>
          <t>Total mensuel</t>
        </is>
      </c>
    </row>
    <row r="22">
      <c r="A22" s="2" t="inlineStr">
        <is>
          <t>Janvier</t>
        </is>
      </c>
      <c r="B22" s="1038">
        <f>Janvier!D7</f>
        <v/>
      </c>
      <c r="C22" s="1039">
        <f>Janvier!E7</f>
        <v/>
      </c>
      <c r="D22" s="1039">
        <f>Janvier!F7</f>
        <v/>
      </c>
      <c r="E22" s="1039">
        <f>Janvier!G7</f>
        <v/>
      </c>
      <c r="F22" s="1039">
        <f>Janvier!H7</f>
        <v/>
      </c>
      <c r="G22" s="1039">
        <f>Janvier!I7</f>
        <v/>
      </c>
      <c r="H22" s="1039">
        <f>Janvier!J7</f>
        <v/>
      </c>
      <c r="I22" s="1039">
        <f>Janvier!K7</f>
        <v/>
      </c>
      <c r="J22" s="1039">
        <f>Janvier!L7</f>
        <v/>
      </c>
      <c r="K22" s="1042">
        <f>Janvier!M7</f>
        <v/>
      </c>
      <c r="L22" s="1040">
        <f>B22+C22+D22+E22+F22+H22+J22+K22</f>
        <v/>
      </c>
      <c r="M22" s="647">
        <f>L22/655.957</f>
        <v/>
      </c>
    </row>
    <row r="23">
      <c r="A23" s="2" t="inlineStr">
        <is>
          <t>Février</t>
        </is>
      </c>
      <c r="B23" s="1038">
        <f>Février!D7</f>
        <v/>
      </c>
      <c r="C23" s="1039">
        <f>Février!E7</f>
        <v/>
      </c>
      <c r="D23" s="1039">
        <f>Février!F7</f>
        <v/>
      </c>
      <c r="E23" s="1039">
        <f>Février!G7</f>
        <v/>
      </c>
      <c r="F23" s="1039">
        <f>Février!H7</f>
        <v/>
      </c>
      <c r="G23" s="1039">
        <f>Février!I7</f>
        <v/>
      </c>
      <c r="H23" s="1039">
        <f>Février!J7</f>
        <v/>
      </c>
      <c r="I23" s="1039">
        <f>Février!K7</f>
        <v/>
      </c>
      <c r="J23" s="1039">
        <f>Février!L7</f>
        <v/>
      </c>
      <c r="K23" s="1042">
        <f>Février!M7</f>
        <v/>
      </c>
      <c r="L23" s="1040">
        <f>B23+C23+D23+E23+F23+H23+J23+K23</f>
        <v/>
      </c>
      <c r="M23" s="647">
        <f>L23/655.957</f>
        <v/>
      </c>
    </row>
    <row r="24">
      <c r="A24" s="2" t="inlineStr">
        <is>
          <t>Mars</t>
        </is>
      </c>
      <c r="B24" s="1038">
        <f>Mars!D7</f>
        <v/>
      </c>
      <c r="C24" s="1039">
        <f>Mars!E7</f>
        <v/>
      </c>
      <c r="D24" s="1039">
        <f>Mars!F7</f>
        <v/>
      </c>
      <c r="E24" s="1039">
        <f>Mars!G7</f>
        <v/>
      </c>
      <c r="F24" s="1039">
        <f>Mars!H7</f>
        <v/>
      </c>
      <c r="G24" s="1039">
        <f>Mars!I7</f>
        <v/>
      </c>
      <c r="H24" s="1039">
        <f>Mars!J7</f>
        <v/>
      </c>
      <c r="I24" s="1039">
        <f>Mars!K7</f>
        <v/>
      </c>
      <c r="J24" s="1039">
        <f>Mars!L7</f>
        <v/>
      </c>
      <c r="K24" s="1042">
        <f>Mars!M7</f>
        <v/>
      </c>
      <c r="L24" s="1040">
        <f>B24+C24+D24+E24+F24+H24+J24+K24</f>
        <v/>
      </c>
      <c r="M24" s="647">
        <f>L24/655.957</f>
        <v/>
      </c>
    </row>
    <row r="25">
      <c r="A25" s="2" t="inlineStr">
        <is>
          <t>Avril</t>
        </is>
      </c>
      <c r="B25" s="1039">
        <f>Avril!D7</f>
        <v/>
      </c>
      <c r="C25" s="1039">
        <f>Avril!E7</f>
        <v/>
      </c>
      <c r="D25" s="1039">
        <f>Avril!F7</f>
        <v/>
      </c>
      <c r="E25" s="1039">
        <f>Avril!G7</f>
        <v/>
      </c>
      <c r="F25" s="1039">
        <f>Avril!H7</f>
        <v/>
      </c>
      <c r="G25" s="1039">
        <f>Avril!I7</f>
        <v/>
      </c>
      <c r="H25" s="1039">
        <f>Avril!J7</f>
        <v/>
      </c>
      <c r="I25" s="1039">
        <f>Avril!K7</f>
        <v/>
      </c>
      <c r="J25" s="1039">
        <f>Avril!L7</f>
        <v/>
      </c>
      <c r="K25" s="1042">
        <f>Avril!M7</f>
        <v/>
      </c>
      <c r="L25" s="1040">
        <f>B25+C25+D25+E25+F25+H25+J25+K25</f>
        <v/>
      </c>
      <c r="M25" s="647">
        <f>L25/655.957</f>
        <v/>
      </c>
    </row>
    <row r="26">
      <c r="A26" s="2" t="inlineStr">
        <is>
          <t>Mai</t>
        </is>
      </c>
      <c r="B26" s="1038">
        <f>Mai!D7</f>
        <v/>
      </c>
      <c r="C26" s="1038">
        <f>Mai!E7</f>
        <v/>
      </c>
      <c r="D26" s="1038">
        <f>Mai!F7</f>
        <v/>
      </c>
      <c r="E26" s="1038">
        <f>Mai!G7</f>
        <v/>
      </c>
      <c r="F26" s="1038">
        <f>Mai!H7</f>
        <v/>
      </c>
      <c r="G26" s="1038">
        <f>Mai!I7</f>
        <v/>
      </c>
      <c r="H26" s="1038">
        <f>Mai!J7</f>
        <v/>
      </c>
      <c r="I26" s="1038">
        <f>Mai!K7</f>
        <v/>
      </c>
      <c r="J26" s="1038">
        <f>Mai!L7</f>
        <v/>
      </c>
      <c r="K26" s="1043">
        <f>Mai!M7</f>
        <v/>
      </c>
      <c r="L26" s="1040">
        <f>B26+C26+D26+E26+F26+H26+J26+K26</f>
        <v/>
      </c>
      <c r="M26" s="647">
        <f>L26/655.957</f>
        <v/>
      </c>
    </row>
    <row r="27">
      <c r="A27" s="2" t="inlineStr">
        <is>
          <t>Juin</t>
        </is>
      </c>
      <c r="B27" s="1038">
        <f>Juin!D7</f>
        <v/>
      </c>
      <c r="C27" s="1038">
        <f>Juin!E7</f>
        <v/>
      </c>
      <c r="D27" s="1038">
        <f>Juin!F7</f>
        <v/>
      </c>
      <c r="E27" s="1038">
        <f>Juin!G7</f>
        <v/>
      </c>
      <c r="F27" s="1038">
        <f>Juin!H7</f>
        <v/>
      </c>
      <c r="G27" s="1038">
        <f>Juin!I7</f>
        <v/>
      </c>
      <c r="H27" s="1038">
        <f>Juin!J7</f>
        <v/>
      </c>
      <c r="I27" s="1038">
        <f>Juin!K7</f>
        <v/>
      </c>
      <c r="J27" s="1038">
        <f>Juin!L7</f>
        <v/>
      </c>
      <c r="K27" s="1043">
        <f>Juin!M7</f>
        <v/>
      </c>
      <c r="L27" s="1040">
        <f>B27+C27+D27+E27+F27+H27+J27+K27</f>
        <v/>
      </c>
      <c r="M27" s="647">
        <f>L27/655.957</f>
        <v/>
      </c>
    </row>
    <row r="28">
      <c r="A28" s="2" t="inlineStr">
        <is>
          <t>Juillet</t>
        </is>
      </c>
      <c r="B28" s="1038">
        <f>Juillet!D7</f>
        <v/>
      </c>
      <c r="C28" s="1038">
        <f>Juillet!E7</f>
        <v/>
      </c>
      <c r="D28" s="1038">
        <f>Juillet!F7</f>
        <v/>
      </c>
      <c r="E28" s="1038">
        <f>Juillet!G7</f>
        <v/>
      </c>
      <c r="F28" s="1038">
        <f>Juillet!H7</f>
        <v/>
      </c>
      <c r="G28" s="1038">
        <f>Juillet!I7</f>
        <v/>
      </c>
      <c r="H28" s="1038">
        <f>Juillet!J7</f>
        <v/>
      </c>
      <c r="I28" s="1038">
        <f>Juillet!K7</f>
        <v/>
      </c>
      <c r="J28" s="1038">
        <f>Juillet!L7</f>
        <v/>
      </c>
      <c r="K28" s="1038">
        <f>Juillet!M7</f>
        <v/>
      </c>
      <c r="L28" s="1040">
        <f>B28+C28+D28+E28+F28+H28+J28+K28</f>
        <v/>
      </c>
      <c r="M28" s="647">
        <f>L28/655.957</f>
        <v/>
      </c>
    </row>
    <row r="29">
      <c r="A29" s="2" t="inlineStr">
        <is>
          <t>Août</t>
        </is>
      </c>
      <c r="B29" s="1038">
        <f>Aout!D7</f>
        <v/>
      </c>
      <c r="C29" s="1038">
        <f>Aout!E7</f>
        <v/>
      </c>
      <c r="D29" s="1038">
        <f>Aout!F7</f>
        <v/>
      </c>
      <c r="E29" s="1038">
        <f>Aout!G7</f>
        <v/>
      </c>
      <c r="F29" s="1038">
        <f>Aout!H7</f>
        <v/>
      </c>
      <c r="G29" s="1038">
        <f>Aout!I7</f>
        <v/>
      </c>
      <c r="H29" s="1038">
        <f>Aout!J7</f>
        <v/>
      </c>
      <c r="I29" s="1038">
        <f>Aout!K7</f>
        <v/>
      </c>
      <c r="J29" s="1038">
        <f>Aout!L7</f>
        <v/>
      </c>
      <c r="K29" s="1038">
        <f>Aout!M7</f>
        <v/>
      </c>
      <c r="L29" s="1040">
        <f>B29+C29+D29+E29+F29+H29+J29+K29</f>
        <v/>
      </c>
      <c r="M29" s="647">
        <f>L29/655.957</f>
        <v/>
      </c>
    </row>
    <row r="30">
      <c r="A30" s="2" t="inlineStr">
        <is>
          <t>Septembre</t>
        </is>
      </c>
      <c r="B30" s="1038">
        <f>Septembre!D7</f>
        <v/>
      </c>
      <c r="C30" s="1038">
        <f>Septembre!E7</f>
        <v/>
      </c>
      <c r="D30" s="1038">
        <f>Septembre!F7</f>
        <v/>
      </c>
      <c r="E30" s="1038">
        <f>Septembre!G7</f>
        <v/>
      </c>
      <c r="F30" s="1038">
        <f>Septembre!H7</f>
        <v/>
      </c>
      <c r="G30" s="1038">
        <f>Septembre!I7</f>
        <v/>
      </c>
      <c r="H30" s="1038">
        <f>Septembre!J7</f>
        <v/>
      </c>
      <c r="I30" s="1038">
        <f>Septembre!K7</f>
        <v/>
      </c>
      <c r="J30" s="1038">
        <f>Septembre!L7</f>
        <v/>
      </c>
      <c r="K30" s="1038">
        <f>Septembre!M7</f>
        <v/>
      </c>
      <c r="L30" s="1040">
        <f>B30+C30+D30+E30+F30+H30+J30+K30</f>
        <v/>
      </c>
      <c r="M30" s="647">
        <f>L30/655.957</f>
        <v/>
      </c>
    </row>
    <row r="31">
      <c r="A31" s="2" t="inlineStr">
        <is>
          <t>Octobre</t>
        </is>
      </c>
      <c r="B31" s="1038">
        <f>Octobre!D7</f>
        <v/>
      </c>
      <c r="C31" s="1038">
        <f>Octobre!E7</f>
        <v/>
      </c>
      <c r="D31" s="1038">
        <f>Octobre!F7</f>
        <v/>
      </c>
      <c r="E31" s="1038">
        <f>Octobre!G7</f>
        <v/>
      </c>
      <c r="F31" s="1038">
        <f>Octobre!H7</f>
        <v/>
      </c>
      <c r="G31" s="1038">
        <f>Octobre!I7</f>
        <v/>
      </c>
      <c r="H31" s="1038">
        <f>Octobre!J7</f>
        <v/>
      </c>
      <c r="I31" s="1038">
        <f>Octobre!K7</f>
        <v/>
      </c>
      <c r="J31" s="1038">
        <f>Octobre!L7</f>
        <v/>
      </c>
      <c r="K31" s="1038">
        <f>Octobre!M7</f>
        <v/>
      </c>
      <c r="L31" s="1040">
        <f>B31+C31+D31+E31+F31+H31+J31+K31</f>
        <v/>
      </c>
      <c r="M31" s="647">
        <f>L31/655.957</f>
        <v/>
      </c>
    </row>
    <row r="32">
      <c r="A32" s="2" t="inlineStr">
        <is>
          <t>Novembre</t>
        </is>
      </c>
      <c r="B32" s="1038">
        <f>Novembre!D7</f>
        <v/>
      </c>
      <c r="C32" s="1038">
        <f>Novembre!E7</f>
        <v/>
      </c>
      <c r="D32" s="1038">
        <f>Novembre!F7</f>
        <v/>
      </c>
      <c r="E32" s="1038">
        <f>Novembre!G7</f>
        <v/>
      </c>
      <c r="F32" s="1038">
        <f>Novembre!H7</f>
        <v/>
      </c>
      <c r="G32" s="1038">
        <f>Novembre!I7</f>
        <v/>
      </c>
      <c r="H32" s="1038">
        <f>Novembre!J7</f>
        <v/>
      </c>
      <c r="I32" s="1038">
        <f>Novembre!K7</f>
        <v/>
      </c>
      <c r="J32" s="1038">
        <f>Novembre!L7</f>
        <v/>
      </c>
      <c r="K32" s="1038">
        <f>Novembre!M7</f>
        <v/>
      </c>
      <c r="L32" s="1040">
        <f>B32+C32+D32+E32+F32+H32+J32+K32</f>
        <v/>
      </c>
      <c r="M32" s="647">
        <f>L32/655.957</f>
        <v/>
      </c>
    </row>
    <row r="33">
      <c r="A33" s="41" t="inlineStr">
        <is>
          <t>Décembre</t>
        </is>
      </c>
      <c r="B33" s="1038">
        <f>Décembre!D7</f>
        <v/>
      </c>
      <c r="C33" s="1038">
        <f>Décembre!E7</f>
        <v/>
      </c>
      <c r="D33" s="1038">
        <f>Décembre!F7</f>
        <v/>
      </c>
      <c r="E33" s="1038">
        <f>Décembre!G7</f>
        <v/>
      </c>
      <c r="F33" s="1038">
        <f>Décembre!H7</f>
        <v/>
      </c>
      <c r="G33" s="1038">
        <f>Décembre!I7</f>
        <v/>
      </c>
      <c r="H33" s="1038">
        <f>Décembre!J7</f>
        <v/>
      </c>
      <c r="I33" s="1038">
        <f>Décembre!K7</f>
        <v/>
      </c>
      <c r="J33" s="1038">
        <f>Décembre!L7</f>
        <v/>
      </c>
      <c r="K33" s="1038">
        <f>Décembre!M7</f>
        <v/>
      </c>
      <c r="L33" s="1040">
        <f>B33+C33+D33+E33+F33+H33+J33+K33</f>
        <v/>
      </c>
      <c r="M33" s="647">
        <f>L33/655.957</f>
        <v/>
      </c>
    </row>
    <row r="34">
      <c r="A34" s="2" t="inlineStr">
        <is>
          <t>Total Annuel (FCFA)</t>
        </is>
      </c>
      <c r="B34" s="1040">
        <f>SUM(B22:B33)</f>
        <v/>
      </c>
      <c r="C34" s="1040">
        <f>SUM(C22:C33)</f>
        <v/>
      </c>
      <c r="D34" s="1040">
        <f>SUM(D22:D33)</f>
        <v/>
      </c>
      <c r="E34" s="1040">
        <f>SUM(E22:E33)</f>
        <v/>
      </c>
      <c r="F34" s="1040">
        <f>SUM(F22:F33)</f>
        <v/>
      </c>
      <c r="G34" s="1040">
        <f>SUM(G22:G33)</f>
        <v/>
      </c>
      <c r="H34" s="1040">
        <f>SUM(H22:H33)</f>
        <v/>
      </c>
      <c r="I34" s="1040">
        <f>SUM(I22:I33)</f>
        <v/>
      </c>
      <c r="J34" s="1040">
        <f>SUM(J22:J33)</f>
        <v/>
      </c>
      <c r="K34" s="1041">
        <f>SUM(K22:K33)</f>
        <v/>
      </c>
      <c r="L34" s="1040">
        <f>SUM(L22:L33)</f>
        <v/>
      </c>
      <c r="M34" s="648" t="n"/>
    </row>
    <row r="35">
      <c r="A35" s="2" t="inlineStr">
        <is>
          <t>Total (€)</t>
        </is>
      </c>
      <c r="B35" s="652">
        <f>B34/655.957</f>
        <v/>
      </c>
      <c r="C35" s="652">
        <f>C34/655.957</f>
        <v/>
      </c>
      <c r="D35" s="652">
        <f>D34/655.957</f>
        <v/>
      </c>
      <c r="E35" s="652">
        <f>E34/655.957</f>
        <v/>
      </c>
      <c r="F35" s="652">
        <f>F34/655.957</f>
        <v/>
      </c>
      <c r="G35" s="652">
        <f>G34/655.957</f>
        <v/>
      </c>
      <c r="H35" s="652">
        <f>H34/655.957</f>
        <v/>
      </c>
      <c r="I35" s="652">
        <f>I34/655.957</f>
        <v/>
      </c>
      <c r="J35" s="652">
        <f>J34/655.957</f>
        <v/>
      </c>
      <c r="K35" s="653">
        <f>K34/655.957</f>
        <v/>
      </c>
      <c r="L35" s="644" t="n"/>
      <c r="M35" s="647">
        <f>L34/655.957</f>
        <v/>
      </c>
    </row>
    <row r="38">
      <c r="A38" s="539" t="inlineStr">
        <is>
          <t>CNR International</t>
        </is>
      </c>
      <c r="B38" s="655" t="inlineStr">
        <is>
          <t xml:space="preserve">Logistique </t>
        </is>
      </c>
      <c r="C38" s="655" t="inlineStr">
        <is>
          <t>IMAR</t>
        </is>
      </c>
      <c r="D38" s="1033" t="inlineStr">
        <is>
          <t>HINT</t>
        </is>
      </c>
      <c r="E38" s="1034" t="inlineStr">
        <is>
          <t>IAER</t>
        </is>
      </c>
      <c r="F38" s="1034" t="inlineStr">
        <is>
          <t>EAER</t>
        </is>
      </c>
      <c r="G38" s="1033" t="inlineStr">
        <is>
          <t>AERIEN</t>
        </is>
      </c>
      <c r="H38" s="1033" t="inlineStr">
        <is>
          <t>EXPORT</t>
        </is>
      </c>
      <c r="I38" s="1033" t="inlineStr">
        <is>
          <t>SIRT</t>
        </is>
      </c>
      <c r="J38" s="1033" t="inlineStr">
        <is>
          <t>Afritramp</t>
        </is>
      </c>
      <c r="K38" s="1033" t="inlineStr">
        <is>
          <t>Meet &amp; Greet</t>
        </is>
      </c>
      <c r="L38" s="1035" t="inlineStr">
        <is>
          <t>Total mensuel</t>
        </is>
      </c>
      <c r="M38" s="1036" t="inlineStr">
        <is>
          <t>Total mensuel</t>
        </is>
      </c>
    </row>
    <row r="39">
      <c r="A39" s="2" t="inlineStr">
        <is>
          <t>Janvier</t>
        </is>
      </c>
      <c r="B39" s="1038">
        <f>Janvier!D11</f>
        <v/>
      </c>
      <c r="C39" s="1038">
        <f>Janvier!E11</f>
        <v/>
      </c>
      <c r="D39" s="1038">
        <f>Janvier!F11</f>
        <v/>
      </c>
      <c r="E39" s="1038">
        <f>Janvier!G11</f>
        <v/>
      </c>
      <c r="F39" s="1038">
        <f>Janvier!H11</f>
        <v/>
      </c>
      <c r="G39" s="1038">
        <f>Janvier!I11</f>
        <v/>
      </c>
      <c r="H39" s="1038">
        <f>Janvier!J11</f>
        <v/>
      </c>
      <c r="I39" s="1038">
        <f>Janvier!K11</f>
        <v/>
      </c>
      <c r="J39" s="1038">
        <f>Janvier!L11</f>
        <v/>
      </c>
      <c r="K39" s="1038">
        <f>Janvier!M11</f>
        <v/>
      </c>
      <c r="L39" s="1040">
        <f>B39+C39+D39+E39+F39+H39+J39+K39</f>
        <v/>
      </c>
      <c r="M39" s="647">
        <f>L39/655.957</f>
        <v/>
      </c>
    </row>
    <row r="40">
      <c r="A40" s="2" t="inlineStr">
        <is>
          <t>Février</t>
        </is>
      </c>
      <c r="B40" s="1038">
        <f>Février!D11</f>
        <v/>
      </c>
      <c r="C40" s="1038">
        <f>Février!E11</f>
        <v/>
      </c>
      <c r="D40" s="1038">
        <f>Février!F11</f>
        <v/>
      </c>
      <c r="E40" s="1038">
        <f>Février!G11</f>
        <v/>
      </c>
      <c r="F40" s="1038">
        <f>Février!H11</f>
        <v/>
      </c>
      <c r="G40" s="1038">
        <f>Février!I11</f>
        <v/>
      </c>
      <c r="H40" s="1038">
        <f>Février!J11</f>
        <v/>
      </c>
      <c r="I40" s="1038">
        <f>Février!K11</f>
        <v/>
      </c>
      <c r="J40" s="1038">
        <f>Février!L11</f>
        <v/>
      </c>
      <c r="K40" s="1038">
        <f>Février!M11</f>
        <v/>
      </c>
      <c r="L40" s="1040">
        <f>B40+C40+D40+E40+F40+H40+J40+K40</f>
        <v/>
      </c>
      <c r="M40" s="647">
        <f>L40/655.957</f>
        <v/>
      </c>
    </row>
    <row r="41">
      <c r="A41" s="2" t="inlineStr">
        <is>
          <t>Mars</t>
        </is>
      </c>
      <c r="B41" s="1038">
        <f>Mars!D11</f>
        <v/>
      </c>
      <c r="C41" s="1038">
        <f>Mars!E11</f>
        <v/>
      </c>
      <c r="D41" s="1038">
        <f>Mars!F11</f>
        <v/>
      </c>
      <c r="E41" s="1038">
        <f>Mars!G11</f>
        <v/>
      </c>
      <c r="F41" s="1038">
        <f>Mars!H11</f>
        <v/>
      </c>
      <c r="G41" s="1038">
        <f>Mars!I11</f>
        <v/>
      </c>
      <c r="H41" s="1038">
        <f>Mars!J11</f>
        <v/>
      </c>
      <c r="I41" s="1038">
        <f>Mars!K11</f>
        <v/>
      </c>
      <c r="J41" s="1038">
        <f>Mars!L11</f>
        <v/>
      </c>
      <c r="K41" s="1038">
        <f>Mars!M11</f>
        <v/>
      </c>
      <c r="L41" s="1040">
        <f>B41+C41+D41+E41+F41+H41+J41+K41</f>
        <v/>
      </c>
      <c r="M41" s="647">
        <f>L41/655.957</f>
        <v/>
      </c>
    </row>
    <row r="42">
      <c r="A42" s="2" t="inlineStr">
        <is>
          <t>Avril</t>
        </is>
      </c>
      <c r="B42" s="1039">
        <f>Avril!D11</f>
        <v/>
      </c>
      <c r="C42" s="1039">
        <f>Avril!E11</f>
        <v/>
      </c>
      <c r="D42" s="1039">
        <f>Avril!F11</f>
        <v/>
      </c>
      <c r="E42" s="1039">
        <f>Avril!G11</f>
        <v/>
      </c>
      <c r="F42" s="1039">
        <f>Avril!H11</f>
        <v/>
      </c>
      <c r="G42" s="1039">
        <f>Avril!I11</f>
        <v/>
      </c>
      <c r="H42" s="1039">
        <f>Avril!J11</f>
        <v/>
      </c>
      <c r="I42" s="1039">
        <f>Avril!K11</f>
        <v/>
      </c>
      <c r="J42" s="1039">
        <f>Avril!L11</f>
        <v/>
      </c>
      <c r="K42" s="1039">
        <f>Avril!M11</f>
        <v/>
      </c>
      <c r="L42" s="1040">
        <f>B42+C42+D42+E42+F42+H42+J42+K42</f>
        <v/>
      </c>
      <c r="M42" s="647">
        <f>L42/655.957</f>
        <v/>
      </c>
    </row>
    <row r="43">
      <c r="A43" s="2" t="inlineStr">
        <is>
          <t>Mai</t>
        </is>
      </c>
      <c r="B43" s="1038">
        <f>Mai!D11</f>
        <v/>
      </c>
      <c r="C43" s="1038">
        <f>Mai!E11</f>
        <v/>
      </c>
      <c r="D43" s="1038">
        <f>Mai!F11</f>
        <v/>
      </c>
      <c r="E43" s="1038">
        <f>Mai!G11</f>
        <v/>
      </c>
      <c r="F43" s="1038">
        <f>Mai!H11</f>
        <v/>
      </c>
      <c r="G43" s="1038">
        <f>Mai!I11</f>
        <v/>
      </c>
      <c r="H43" s="1038">
        <f>Mai!J11</f>
        <v/>
      </c>
      <c r="I43" s="1038">
        <f>Mai!K11</f>
        <v/>
      </c>
      <c r="J43" s="1038">
        <f>Mai!L11</f>
        <v/>
      </c>
      <c r="K43" s="1038">
        <f>Mai!M11</f>
        <v/>
      </c>
      <c r="L43" s="1040">
        <f>B43+C43+D43+E43+F43+H43+J43+K43</f>
        <v/>
      </c>
      <c r="M43" s="647">
        <f>L43/655.957</f>
        <v/>
      </c>
    </row>
    <row r="44">
      <c r="A44" s="2" t="inlineStr">
        <is>
          <t>Juin</t>
        </is>
      </c>
      <c r="B44" s="1038">
        <f>Juin!D11</f>
        <v/>
      </c>
      <c r="C44" s="1038">
        <f>Juin!E11</f>
        <v/>
      </c>
      <c r="D44" s="1038">
        <f>Juin!F11</f>
        <v/>
      </c>
      <c r="E44" s="1038">
        <f>Juin!G11</f>
        <v/>
      </c>
      <c r="F44" s="1038">
        <f>Juin!H11</f>
        <v/>
      </c>
      <c r="G44" s="1038">
        <f>Juin!I11</f>
        <v/>
      </c>
      <c r="H44" s="1038">
        <f>Juin!J11</f>
        <v/>
      </c>
      <c r="I44" s="1038">
        <f>Juin!K11</f>
        <v/>
      </c>
      <c r="J44" s="1038">
        <f>Juin!L11</f>
        <v/>
      </c>
      <c r="K44" s="1038">
        <f>Juin!M11</f>
        <v/>
      </c>
      <c r="L44" s="1040">
        <f>B44+C44+D44+E44+F44+H44+J44+K44</f>
        <v/>
      </c>
      <c r="M44" s="647">
        <f>L44/655.957</f>
        <v/>
      </c>
    </row>
    <row r="45">
      <c r="A45" s="2" t="inlineStr">
        <is>
          <t>Juillet</t>
        </is>
      </c>
      <c r="B45" s="1038">
        <f>Juillet!D11</f>
        <v/>
      </c>
      <c r="C45" s="1038">
        <f>Juillet!E11</f>
        <v/>
      </c>
      <c r="D45" s="1038">
        <f>Juillet!F11</f>
        <v/>
      </c>
      <c r="E45" s="1038">
        <f>Juillet!G11</f>
        <v/>
      </c>
      <c r="F45" s="1038">
        <f>Juillet!H11</f>
        <v/>
      </c>
      <c r="G45" s="1038">
        <f>Juillet!I40</f>
        <v/>
      </c>
      <c r="H45" s="1038">
        <f>Juillet!J11</f>
        <v/>
      </c>
      <c r="I45" s="1038">
        <f>Juillet!K40</f>
        <v/>
      </c>
      <c r="J45" s="1038">
        <f>Juillet!L11</f>
        <v/>
      </c>
      <c r="K45" s="1038">
        <f>Juillet!M11</f>
        <v/>
      </c>
      <c r="L45" s="1040">
        <f>B45+C45+D45+E45+F45+H45+J45+K45</f>
        <v/>
      </c>
      <c r="M45" s="647">
        <f>L45/655.957</f>
        <v/>
      </c>
    </row>
    <row r="46">
      <c r="A46" s="2" t="inlineStr">
        <is>
          <t>Août</t>
        </is>
      </c>
      <c r="B46" s="1038">
        <f>Aout!D11</f>
        <v/>
      </c>
      <c r="C46" s="1038">
        <f>Aout!E11</f>
        <v/>
      </c>
      <c r="D46" s="1038">
        <f>Aout!F11</f>
        <v/>
      </c>
      <c r="E46" s="1038">
        <f>Aout!G11</f>
        <v/>
      </c>
      <c r="F46" s="1038">
        <f>Aout!H11</f>
        <v/>
      </c>
      <c r="G46" s="1038">
        <f>Aout!I11</f>
        <v/>
      </c>
      <c r="H46" s="1038">
        <f>Aout!J11</f>
        <v/>
      </c>
      <c r="I46" s="1038">
        <f>Aout!K11</f>
        <v/>
      </c>
      <c r="J46" s="1038">
        <f>Aout!L11</f>
        <v/>
      </c>
      <c r="K46" s="1038">
        <f>Aout!M11</f>
        <v/>
      </c>
      <c r="L46" s="1040">
        <f>B46+C46+D46+E46+F46+H46+J46+K46</f>
        <v/>
      </c>
      <c r="M46" s="647">
        <f>L46/655.957</f>
        <v/>
      </c>
    </row>
    <row r="47">
      <c r="A47" s="2" t="inlineStr">
        <is>
          <t>Septembre</t>
        </is>
      </c>
      <c r="B47" s="1038">
        <f>Septembre!D11</f>
        <v/>
      </c>
      <c r="C47" s="1038">
        <f>Septembre!E11</f>
        <v/>
      </c>
      <c r="D47" s="1038">
        <f>Septembre!F11</f>
        <v/>
      </c>
      <c r="E47" s="1038">
        <f>Septembre!G11</f>
        <v/>
      </c>
      <c r="F47" s="1038">
        <f>Septembre!H11</f>
        <v/>
      </c>
      <c r="G47" s="1038">
        <f>Septembre!I11</f>
        <v/>
      </c>
      <c r="H47" s="1038">
        <f>Septembre!J11</f>
        <v/>
      </c>
      <c r="I47" s="1038">
        <f>Septembre!K11</f>
        <v/>
      </c>
      <c r="J47" s="1038">
        <f>Septembre!L11</f>
        <v/>
      </c>
      <c r="K47" s="1038">
        <f>Septembre!M11</f>
        <v/>
      </c>
      <c r="L47" s="1040">
        <f>B47+C47+D47+E47+F47+H47+J47+K47</f>
        <v/>
      </c>
      <c r="M47" s="647">
        <f>L47/655.957</f>
        <v/>
      </c>
    </row>
    <row r="48">
      <c r="A48" s="2" t="inlineStr">
        <is>
          <t>Octobre</t>
        </is>
      </c>
      <c r="B48" s="1038">
        <f>Octobre!D11</f>
        <v/>
      </c>
      <c r="C48" s="1038">
        <f>Octobre!E11</f>
        <v/>
      </c>
      <c r="D48" s="1038">
        <f>Octobre!F11</f>
        <v/>
      </c>
      <c r="E48" s="1038">
        <f>Octobre!G11</f>
        <v/>
      </c>
      <c r="F48" s="1038">
        <f>Octobre!H11</f>
        <v/>
      </c>
      <c r="G48" s="1038">
        <f>Octobre!I11</f>
        <v/>
      </c>
      <c r="H48" s="1038">
        <f>Octobre!J11</f>
        <v/>
      </c>
      <c r="I48" s="1038">
        <f>Octobre!K11</f>
        <v/>
      </c>
      <c r="J48" s="1038">
        <f>Octobre!L11</f>
        <v/>
      </c>
      <c r="K48" s="1038">
        <f>Octobre!M11</f>
        <v/>
      </c>
      <c r="L48" s="1040">
        <f>B48+C48+D48+E48+F48+H48+J48+K48</f>
        <v/>
      </c>
      <c r="M48" s="647">
        <f>L48/655.957</f>
        <v/>
      </c>
    </row>
    <row r="49">
      <c r="A49" s="2" t="inlineStr">
        <is>
          <t>Novembre</t>
        </is>
      </c>
      <c r="B49" s="1038">
        <f>Novembre!D11</f>
        <v/>
      </c>
      <c r="C49" s="1038">
        <f>Novembre!E11</f>
        <v/>
      </c>
      <c r="D49" s="1038">
        <f>Novembre!F11</f>
        <v/>
      </c>
      <c r="E49" s="1038">
        <f>Novembre!G11</f>
        <v/>
      </c>
      <c r="F49" s="1038">
        <f>Novembre!H11</f>
        <v/>
      </c>
      <c r="G49" s="1038">
        <f>Novembre!I11</f>
        <v/>
      </c>
      <c r="H49" s="1038">
        <f>Novembre!J11</f>
        <v/>
      </c>
      <c r="I49" s="1038">
        <f>Novembre!K11</f>
        <v/>
      </c>
      <c r="J49" s="1038">
        <f>Novembre!L11</f>
        <v/>
      </c>
      <c r="K49" s="1038">
        <f>Novembre!M11</f>
        <v/>
      </c>
      <c r="L49" s="1040">
        <f>B49+C49+D49+E49+F49+H49+J49+K49</f>
        <v/>
      </c>
      <c r="M49" s="647">
        <f>L49/655.957</f>
        <v/>
      </c>
    </row>
    <row r="50">
      <c r="A50" s="2" t="inlineStr">
        <is>
          <t>Décembre</t>
        </is>
      </c>
      <c r="B50" s="1038">
        <f>Décembre!D11</f>
        <v/>
      </c>
      <c r="C50" s="1038">
        <f>Décembre!E11</f>
        <v/>
      </c>
      <c r="D50" s="1038">
        <f>Décembre!F11</f>
        <v/>
      </c>
      <c r="E50" s="1038">
        <f>Décembre!G11</f>
        <v/>
      </c>
      <c r="F50" s="1038">
        <f>Décembre!H11</f>
        <v/>
      </c>
      <c r="G50" s="1038">
        <f>Décembre!I11</f>
        <v/>
      </c>
      <c r="H50" s="1038">
        <f>Décembre!J11</f>
        <v/>
      </c>
      <c r="I50" s="1038">
        <f>Décembre!K11</f>
        <v/>
      </c>
      <c r="J50" s="1038">
        <f>Décembre!L11</f>
        <v/>
      </c>
      <c r="K50" s="1038">
        <f>Décembre!M11</f>
        <v/>
      </c>
      <c r="L50" s="1040">
        <f>B50+C50+D50+E50+F50+H50+J50+K50</f>
        <v/>
      </c>
      <c r="M50" s="647">
        <f>L50/655.957</f>
        <v/>
      </c>
    </row>
    <row r="51">
      <c r="A51" s="2" t="inlineStr">
        <is>
          <t>Total Annuel (FCFA)</t>
        </is>
      </c>
      <c r="B51" s="1040">
        <f>SUM(B39:B50)</f>
        <v/>
      </c>
      <c r="C51" s="1040">
        <f>SUM(C39:C50)</f>
        <v/>
      </c>
      <c r="D51" s="1040">
        <f>SUM(D39:D50)</f>
        <v/>
      </c>
      <c r="E51" s="1040">
        <f>SUM(E39:E50)</f>
        <v/>
      </c>
      <c r="F51" s="1040">
        <f>SUM(F39:F50)</f>
        <v/>
      </c>
      <c r="G51" s="1040">
        <f>SUM(G39:G50)</f>
        <v/>
      </c>
      <c r="H51" s="1040">
        <f>SUM(H39:H50)</f>
        <v/>
      </c>
      <c r="I51" s="1040">
        <f>SUM(I39:I50)</f>
        <v/>
      </c>
      <c r="J51" s="1040">
        <f>SUM(J39:J50)</f>
        <v/>
      </c>
      <c r="K51" s="1041">
        <f>SUM(K39:K50)</f>
        <v/>
      </c>
      <c r="L51" s="1040">
        <f>SUM(L39:L50)</f>
        <v/>
      </c>
      <c r="M51" s="648" t="n"/>
    </row>
    <row r="52">
      <c r="A52" s="2" t="inlineStr">
        <is>
          <t>Total (€)</t>
        </is>
      </c>
      <c r="B52" s="652">
        <f>B51/655.957</f>
        <v/>
      </c>
      <c r="C52" s="652">
        <f>C51/655.957</f>
        <v/>
      </c>
      <c r="D52" s="652">
        <f>D51/655.957</f>
        <v/>
      </c>
      <c r="E52" s="652">
        <f>E51/655.957</f>
        <v/>
      </c>
      <c r="F52" s="652">
        <f>F51/655.957</f>
        <v/>
      </c>
      <c r="G52" s="652">
        <f>G51/655.957</f>
        <v/>
      </c>
      <c r="H52" s="652">
        <f>H51/655.957</f>
        <v/>
      </c>
      <c r="I52" s="652">
        <f>I51/655.957</f>
        <v/>
      </c>
      <c r="J52" s="652">
        <f>J51/655.957</f>
        <v/>
      </c>
      <c r="K52" s="653">
        <f>K51/655.957</f>
        <v/>
      </c>
      <c r="L52" s="644" t="n"/>
      <c r="M52" s="647">
        <f>L51/655.957</f>
        <v/>
      </c>
    </row>
    <row r="55">
      <c r="A55" s="539" t="inlineStr">
        <is>
          <t>Foxtrot</t>
        </is>
      </c>
      <c r="B55" s="655" t="inlineStr">
        <is>
          <t xml:space="preserve">Logistique </t>
        </is>
      </c>
      <c r="C55" s="655" t="inlineStr">
        <is>
          <t>IMAR</t>
        </is>
      </c>
      <c r="D55" s="1033" t="inlineStr">
        <is>
          <t>HINT</t>
        </is>
      </c>
      <c r="E55" s="1034" t="inlineStr">
        <is>
          <t>IAER</t>
        </is>
      </c>
      <c r="F55" s="1034" t="inlineStr">
        <is>
          <t>EAER</t>
        </is>
      </c>
      <c r="G55" s="1033" t="inlineStr">
        <is>
          <t>AERIEN</t>
        </is>
      </c>
      <c r="H55" s="1033" t="inlineStr">
        <is>
          <t>EXPORT</t>
        </is>
      </c>
      <c r="I55" s="1033" t="inlineStr">
        <is>
          <t>SIRT</t>
        </is>
      </c>
      <c r="J55" s="1033" t="inlineStr">
        <is>
          <t>Afritramp</t>
        </is>
      </c>
      <c r="K55" s="1033" t="inlineStr">
        <is>
          <t>Meet &amp; Greet</t>
        </is>
      </c>
      <c r="L55" s="1035" t="inlineStr">
        <is>
          <t>Total mensuel</t>
        </is>
      </c>
      <c r="M55" s="1036" t="inlineStr">
        <is>
          <t>Total mensuel</t>
        </is>
      </c>
    </row>
    <row r="56">
      <c r="A56" s="2" t="inlineStr">
        <is>
          <t>Janvier</t>
        </is>
      </c>
      <c r="B56" s="1038">
        <f>Janvier!D17</f>
        <v/>
      </c>
      <c r="C56" s="1038">
        <f>Janvier!E17</f>
        <v/>
      </c>
      <c r="D56" s="1038">
        <f>Janvier!F17</f>
        <v/>
      </c>
      <c r="E56" s="1038">
        <f>Janvier!G17</f>
        <v/>
      </c>
      <c r="F56" s="1038">
        <f>Janvier!H17</f>
        <v/>
      </c>
      <c r="G56" s="1038">
        <f>Janvier!I17</f>
        <v/>
      </c>
      <c r="H56" s="1038">
        <f>Janvier!J17</f>
        <v/>
      </c>
      <c r="I56" s="1038">
        <f>Janvier!K17</f>
        <v/>
      </c>
      <c r="J56" s="1038">
        <f>Janvier!L17</f>
        <v/>
      </c>
      <c r="K56" s="1038">
        <f>Janvier!M17</f>
        <v/>
      </c>
      <c r="L56" s="1040">
        <f>B56+C56+D56+E56+F56+H56+J56+K56</f>
        <v/>
      </c>
      <c r="M56" s="647">
        <f>L56/655.957</f>
        <v/>
      </c>
    </row>
    <row r="57">
      <c r="A57" s="2" t="inlineStr">
        <is>
          <t>Février</t>
        </is>
      </c>
      <c r="B57" s="1038">
        <f>Février!D17</f>
        <v/>
      </c>
      <c r="C57" s="1038">
        <f>Février!E17</f>
        <v/>
      </c>
      <c r="D57" s="1038">
        <f>Février!F17</f>
        <v/>
      </c>
      <c r="E57" s="1038">
        <f>Février!G17</f>
        <v/>
      </c>
      <c r="F57" s="1038">
        <f>Février!H17</f>
        <v/>
      </c>
      <c r="G57" s="1038">
        <f>Février!I17</f>
        <v/>
      </c>
      <c r="H57" s="1038">
        <f>Février!J17</f>
        <v/>
      </c>
      <c r="I57" s="1038">
        <f>Février!K17</f>
        <v/>
      </c>
      <c r="J57" s="1038">
        <f>Février!L17</f>
        <v/>
      </c>
      <c r="K57" s="1038">
        <f>Février!M17</f>
        <v/>
      </c>
      <c r="L57" s="1040">
        <f>B57+C57+D57+E57+F57+H57+J57+K57</f>
        <v/>
      </c>
      <c r="M57" s="647">
        <f>L57/655.957</f>
        <v/>
      </c>
    </row>
    <row r="58">
      <c r="A58" s="2" t="inlineStr">
        <is>
          <t>Mars</t>
        </is>
      </c>
      <c r="B58" s="1038">
        <f>Mars!D17</f>
        <v/>
      </c>
      <c r="C58" s="1038">
        <f>Mars!E17</f>
        <v/>
      </c>
      <c r="D58" s="1038">
        <f>Mars!F17</f>
        <v/>
      </c>
      <c r="E58" s="1038">
        <f>Mars!G17</f>
        <v/>
      </c>
      <c r="F58" s="1038">
        <f>Mars!H17</f>
        <v/>
      </c>
      <c r="G58" s="1038">
        <f>Mars!I17</f>
        <v/>
      </c>
      <c r="H58" s="1038">
        <f>Mars!J17</f>
        <v/>
      </c>
      <c r="I58" s="1038">
        <f>Mars!K17</f>
        <v/>
      </c>
      <c r="J58" s="1038">
        <f>Mars!L17</f>
        <v/>
      </c>
      <c r="K58" s="1038">
        <f>Mars!M17</f>
        <v/>
      </c>
      <c r="L58" s="1040">
        <f>B58+C58+D58+E58+F58+H58+J58+K58</f>
        <v/>
      </c>
      <c r="M58" s="647">
        <f>L58/655.957</f>
        <v/>
      </c>
    </row>
    <row r="59">
      <c r="A59" s="2" t="inlineStr">
        <is>
          <t>Avril</t>
        </is>
      </c>
      <c r="B59" s="1039">
        <f>Avril!D17</f>
        <v/>
      </c>
      <c r="C59" s="1039">
        <f>Avril!E17</f>
        <v/>
      </c>
      <c r="D59" s="1039">
        <f>Avril!F17</f>
        <v/>
      </c>
      <c r="E59" s="1039">
        <f>Avril!G17</f>
        <v/>
      </c>
      <c r="F59" s="1039">
        <f>Avril!H17</f>
        <v/>
      </c>
      <c r="G59" s="1039">
        <f>Avril!I6</f>
        <v/>
      </c>
      <c r="H59" s="1039">
        <f>Avril!J17</f>
        <v/>
      </c>
      <c r="I59" s="1039">
        <f>Avril!K6</f>
        <v/>
      </c>
      <c r="J59" s="1039">
        <f>Avril!L17</f>
        <v/>
      </c>
      <c r="K59" s="1039">
        <f>Avril!M17</f>
        <v/>
      </c>
      <c r="L59" s="1040">
        <f>B59+C59+D59+E59+F59+H59+J59+K59</f>
        <v/>
      </c>
      <c r="M59" s="647">
        <f>L59/655.957</f>
        <v/>
      </c>
    </row>
    <row r="60">
      <c r="A60" s="2" t="inlineStr">
        <is>
          <t>Mai</t>
        </is>
      </c>
      <c r="B60" s="1038">
        <f>Mai!D17</f>
        <v/>
      </c>
      <c r="C60" s="1038">
        <f>Mai!E17</f>
        <v/>
      </c>
      <c r="D60" s="1038">
        <f>Mai!F17</f>
        <v/>
      </c>
      <c r="E60" s="1038">
        <f>Mai!G17</f>
        <v/>
      </c>
      <c r="F60" s="1038">
        <f>Mai!H17</f>
        <v/>
      </c>
      <c r="G60" s="1038">
        <f>Mai!I17</f>
        <v/>
      </c>
      <c r="H60" s="1038">
        <f>Mai!J17</f>
        <v/>
      </c>
      <c r="I60" s="1038">
        <f>Mai!K17</f>
        <v/>
      </c>
      <c r="J60" s="1038">
        <f>Mai!L17</f>
        <v/>
      </c>
      <c r="K60" s="1038">
        <f>Mai!M17</f>
        <v/>
      </c>
      <c r="L60" s="1040">
        <f>B60+C60+D60+E60+F60+H60+J60+K60</f>
        <v/>
      </c>
      <c r="M60" s="647">
        <f>L60/655.957</f>
        <v/>
      </c>
    </row>
    <row r="61">
      <c r="A61" s="2" t="inlineStr">
        <is>
          <t>Juin</t>
        </is>
      </c>
      <c r="B61" s="1038">
        <f>Juin!D17</f>
        <v/>
      </c>
      <c r="C61" s="1038">
        <f>Juin!E17</f>
        <v/>
      </c>
      <c r="D61" s="1038">
        <f>Juin!F17</f>
        <v/>
      </c>
      <c r="E61" s="1038">
        <f>Juin!G17</f>
        <v/>
      </c>
      <c r="F61" s="1038">
        <f>Juin!H17</f>
        <v/>
      </c>
      <c r="G61" s="1038">
        <f>Juin!I17</f>
        <v/>
      </c>
      <c r="H61" s="1038">
        <f>Juin!J17</f>
        <v/>
      </c>
      <c r="I61" s="1038">
        <f>Juin!K17</f>
        <v/>
      </c>
      <c r="J61" s="1038">
        <f>Juin!L17</f>
        <v/>
      </c>
      <c r="K61" s="1038">
        <f>Juin!M17</f>
        <v/>
      </c>
      <c r="L61" s="1040">
        <f>B61+C61+D61+E61+F61+H61+J61+K61</f>
        <v/>
      </c>
      <c r="M61" s="647">
        <f>L61/655.957</f>
        <v/>
      </c>
    </row>
    <row r="62">
      <c r="A62" s="2" t="inlineStr">
        <is>
          <t>Juillet</t>
        </is>
      </c>
      <c r="B62" s="1038">
        <f>Juillet!D17</f>
        <v/>
      </c>
      <c r="C62" s="1038">
        <f>Juillet!E17</f>
        <v/>
      </c>
      <c r="D62" s="1038">
        <f>Juillet!F17</f>
        <v/>
      </c>
      <c r="E62" s="1038">
        <f>Juillet!G17</f>
        <v/>
      </c>
      <c r="F62" s="1038">
        <f>Juillet!H17</f>
        <v/>
      </c>
      <c r="G62" s="1038">
        <f>Juillet!I17</f>
        <v/>
      </c>
      <c r="H62" s="1038">
        <f>Juillet!J17</f>
        <v/>
      </c>
      <c r="I62" s="1038">
        <f>Juillet!K17</f>
        <v/>
      </c>
      <c r="J62" s="1038">
        <f>Juillet!L17</f>
        <v/>
      </c>
      <c r="K62" s="1038">
        <f>Juillet!M17</f>
        <v/>
      </c>
      <c r="L62" s="1040">
        <f>B62+C62+D62+E62+F62+H62+J62+K62</f>
        <v/>
      </c>
      <c r="M62" s="647">
        <f>L62/655.957</f>
        <v/>
      </c>
    </row>
    <row r="63">
      <c r="A63" s="2" t="inlineStr">
        <is>
          <t>Août</t>
        </is>
      </c>
      <c r="B63" s="1038">
        <f>Aout!D17</f>
        <v/>
      </c>
      <c r="C63" s="1038">
        <f>Aout!E17</f>
        <v/>
      </c>
      <c r="D63" s="1038">
        <f>Aout!F17</f>
        <v/>
      </c>
      <c r="E63" s="1038">
        <f>Aout!G17</f>
        <v/>
      </c>
      <c r="F63" s="1038">
        <f>Aout!H17</f>
        <v/>
      </c>
      <c r="G63" s="1038">
        <f>Aout!I17</f>
        <v/>
      </c>
      <c r="H63" s="1038">
        <f>Aout!J17</f>
        <v/>
      </c>
      <c r="I63" s="1038">
        <f>Aout!K17</f>
        <v/>
      </c>
      <c r="J63" s="1038">
        <f>Aout!L17</f>
        <v/>
      </c>
      <c r="K63" s="1038">
        <f>Aout!M17</f>
        <v/>
      </c>
      <c r="L63" s="1040">
        <f>B63+C63+D63+E63+F63+H63+J63+K63</f>
        <v/>
      </c>
      <c r="M63" s="647">
        <f>L63/655.957</f>
        <v/>
      </c>
    </row>
    <row r="64">
      <c r="A64" s="2" t="inlineStr">
        <is>
          <t>Septembre</t>
        </is>
      </c>
      <c r="B64" s="1038">
        <f>Septembre!D17</f>
        <v/>
      </c>
      <c r="C64" s="1038">
        <f>Septembre!E17</f>
        <v/>
      </c>
      <c r="D64" s="1038">
        <f>Septembre!F17</f>
        <v/>
      </c>
      <c r="E64" s="1038">
        <f>Septembre!G17</f>
        <v/>
      </c>
      <c r="F64" s="1038">
        <f>Septembre!H17</f>
        <v/>
      </c>
      <c r="G64" s="1038">
        <f>Septembre!I17</f>
        <v/>
      </c>
      <c r="H64" s="1038">
        <f>Septembre!J17</f>
        <v/>
      </c>
      <c r="I64" s="1038">
        <f>Septembre!K17</f>
        <v/>
      </c>
      <c r="J64" s="1038">
        <f>Septembre!L17</f>
        <v/>
      </c>
      <c r="K64" s="1038">
        <f>Septembre!M17</f>
        <v/>
      </c>
      <c r="L64" s="1040">
        <f>B64+C64+D64+E64+F64+H64+J64+K64</f>
        <v/>
      </c>
      <c r="M64" s="647">
        <f>L64/655.957</f>
        <v/>
      </c>
    </row>
    <row r="65">
      <c r="A65" s="2" t="inlineStr">
        <is>
          <t>Octobre</t>
        </is>
      </c>
      <c r="B65" s="1038">
        <f>Octobre!D17</f>
        <v/>
      </c>
      <c r="C65" s="1038">
        <f>Octobre!E17</f>
        <v/>
      </c>
      <c r="D65" s="1038">
        <f>Octobre!F17</f>
        <v/>
      </c>
      <c r="E65" s="1038">
        <f>Octobre!G17</f>
        <v/>
      </c>
      <c r="F65" s="1038">
        <f>Octobre!H17</f>
        <v/>
      </c>
      <c r="G65" s="1038">
        <f>Octobre!I17</f>
        <v/>
      </c>
      <c r="H65" s="1038">
        <f>Octobre!J17</f>
        <v/>
      </c>
      <c r="I65" s="1038">
        <f>Octobre!K17</f>
        <v/>
      </c>
      <c r="J65" s="1038">
        <f>Octobre!L17</f>
        <v/>
      </c>
      <c r="K65" s="1038">
        <f>Octobre!M17</f>
        <v/>
      </c>
      <c r="L65" s="1040">
        <f>B65+C65+D65+E65+F65+H65+J65+K65</f>
        <v/>
      </c>
      <c r="M65" s="647">
        <f>L65/655.957</f>
        <v/>
      </c>
    </row>
    <row r="66">
      <c r="A66" s="2" t="inlineStr">
        <is>
          <t>Novembre</t>
        </is>
      </c>
      <c r="B66" s="1038">
        <f>Novembre!D17</f>
        <v/>
      </c>
      <c r="C66" s="1038">
        <f>Novembre!E17</f>
        <v/>
      </c>
      <c r="D66" s="1038">
        <f>Novembre!F17</f>
        <v/>
      </c>
      <c r="E66" s="1038">
        <f>Novembre!G17</f>
        <v/>
      </c>
      <c r="F66" s="1038">
        <f>Novembre!H17</f>
        <v/>
      </c>
      <c r="G66" s="1038">
        <f>Novembre!I17</f>
        <v/>
      </c>
      <c r="H66" s="1038">
        <f>Novembre!J17</f>
        <v/>
      </c>
      <c r="I66" s="1038">
        <f>Novembre!K17</f>
        <v/>
      </c>
      <c r="J66" s="1038">
        <f>Novembre!L17</f>
        <v/>
      </c>
      <c r="K66" s="1038">
        <f>Novembre!M17</f>
        <v/>
      </c>
      <c r="L66" s="1040">
        <f>B66+C66+D66+E66+F66+H66+J66+K66</f>
        <v/>
      </c>
      <c r="M66" s="647">
        <f>L66/655.957</f>
        <v/>
      </c>
    </row>
    <row r="67">
      <c r="A67" s="2" t="inlineStr">
        <is>
          <t>Décembre</t>
        </is>
      </c>
      <c r="B67" s="1038">
        <f>Décembre!D17</f>
        <v/>
      </c>
      <c r="C67" s="1038">
        <f>Décembre!E17</f>
        <v/>
      </c>
      <c r="D67" s="1038">
        <f>Décembre!F17</f>
        <v/>
      </c>
      <c r="E67" s="1038">
        <f>Décembre!G17</f>
        <v/>
      </c>
      <c r="F67" s="1038">
        <f>Décembre!H17</f>
        <v/>
      </c>
      <c r="G67" s="1038">
        <f>Décembre!I17</f>
        <v/>
      </c>
      <c r="H67" s="1038">
        <f>Décembre!J17</f>
        <v/>
      </c>
      <c r="I67" s="1038">
        <f>Décembre!K17</f>
        <v/>
      </c>
      <c r="J67" s="1038">
        <f>Décembre!L17</f>
        <v/>
      </c>
      <c r="K67" s="1038">
        <f>Décembre!M17</f>
        <v/>
      </c>
      <c r="L67" s="1040">
        <f>B67+C67+D67+E67+F67+H67+J67+K67</f>
        <v/>
      </c>
      <c r="M67" s="647">
        <f>L67/655.957</f>
        <v/>
      </c>
    </row>
    <row r="68">
      <c r="A68" s="2" t="inlineStr">
        <is>
          <t>Total Annuel (FCFA)</t>
        </is>
      </c>
      <c r="B68" s="1040">
        <f>SUM(B56:B67)</f>
        <v/>
      </c>
      <c r="C68" s="1040">
        <f>SUM(C56:C67)</f>
        <v/>
      </c>
      <c r="D68" s="1040">
        <f>SUM(D56:D67)</f>
        <v/>
      </c>
      <c r="E68" s="1040">
        <f>SUM(E56:E67)</f>
        <v/>
      </c>
      <c r="F68" s="1040">
        <f>SUM(F56:F67)</f>
        <v/>
      </c>
      <c r="G68" s="1040">
        <f>SUM(G56:G67)</f>
        <v/>
      </c>
      <c r="H68" s="1040">
        <f>SUM(H56:H67)</f>
        <v/>
      </c>
      <c r="I68" s="1040">
        <f>SUM(I56:I67)</f>
        <v/>
      </c>
      <c r="J68" s="1040">
        <f>SUM(J56:J67)</f>
        <v/>
      </c>
      <c r="K68" s="1041">
        <f>SUM(K56:K67)</f>
        <v/>
      </c>
      <c r="L68" s="1040">
        <f>SUM(L56:L67)</f>
        <v/>
      </c>
      <c r="M68" s="648" t="n"/>
    </row>
    <row r="69">
      <c r="A69" s="2" t="inlineStr">
        <is>
          <t>Total (€)</t>
        </is>
      </c>
      <c r="B69" s="652">
        <f>B68/655.957</f>
        <v/>
      </c>
      <c r="C69" s="652">
        <f>C68/655.957</f>
        <v/>
      </c>
      <c r="D69" s="652">
        <f>D68/655.957</f>
        <v/>
      </c>
      <c r="E69" s="652">
        <f>E68/655.957</f>
        <v/>
      </c>
      <c r="F69" s="652">
        <f>F68/655.957</f>
        <v/>
      </c>
      <c r="G69" s="652">
        <f>G68/655.957</f>
        <v/>
      </c>
      <c r="H69" s="652">
        <f>H68/655.957</f>
        <v/>
      </c>
      <c r="I69" s="652">
        <f>I68/655.957</f>
        <v/>
      </c>
      <c r="J69" s="652">
        <f>J68/655.957</f>
        <v/>
      </c>
      <c r="K69" s="653">
        <f>K68/655.957</f>
        <v/>
      </c>
      <c r="L69" s="644" t="n"/>
      <c r="M69" s="647">
        <f>L68/655.957</f>
        <v/>
      </c>
    </row>
    <row r="72">
      <c r="A72" s="539" t="inlineStr">
        <is>
          <t>Halliburton</t>
        </is>
      </c>
      <c r="B72" s="655" t="inlineStr">
        <is>
          <t xml:space="preserve">Logistique </t>
        </is>
      </c>
      <c r="C72" s="655" t="inlineStr">
        <is>
          <t>IMAR</t>
        </is>
      </c>
      <c r="D72" s="1033" t="inlineStr">
        <is>
          <t>HINT</t>
        </is>
      </c>
      <c r="E72" s="1034" t="inlineStr">
        <is>
          <t>IAER</t>
        </is>
      </c>
      <c r="F72" s="1034" t="inlineStr">
        <is>
          <t>EAER</t>
        </is>
      </c>
      <c r="G72" s="1033" t="inlineStr">
        <is>
          <t>AERIEN</t>
        </is>
      </c>
      <c r="H72" s="1033" t="inlineStr">
        <is>
          <t>EXPORT</t>
        </is>
      </c>
      <c r="I72" s="1033" t="inlineStr">
        <is>
          <t>SIRT</t>
        </is>
      </c>
      <c r="J72" s="1033" t="inlineStr">
        <is>
          <t>Afritramp</t>
        </is>
      </c>
      <c r="K72" s="1033" t="inlineStr">
        <is>
          <t>Meet &amp; Greet</t>
        </is>
      </c>
      <c r="L72" s="1035" t="inlineStr">
        <is>
          <t>Total mensuel</t>
        </is>
      </c>
      <c r="M72" s="1036" t="inlineStr">
        <is>
          <t>Total mensuel</t>
        </is>
      </c>
    </row>
    <row r="73">
      <c r="A73" s="2" t="inlineStr">
        <is>
          <t>Janvier</t>
        </is>
      </c>
      <c r="B73" s="1038">
        <f>Janvier!D21</f>
        <v/>
      </c>
      <c r="C73" s="1038">
        <f>Janvier!E21</f>
        <v/>
      </c>
      <c r="D73" s="1038">
        <f>Janvier!F21</f>
        <v/>
      </c>
      <c r="E73" s="1038">
        <f>Janvier!G21</f>
        <v/>
      </c>
      <c r="F73" s="1038">
        <f>Janvier!H21</f>
        <v/>
      </c>
      <c r="G73" s="1038">
        <f>Janvier!I21</f>
        <v/>
      </c>
      <c r="H73" s="1038">
        <f>Janvier!J21</f>
        <v/>
      </c>
      <c r="I73" s="1038">
        <f>Janvier!K21</f>
        <v/>
      </c>
      <c r="J73" s="1038">
        <f>Janvier!L21</f>
        <v/>
      </c>
      <c r="K73" s="1038">
        <f>Janvier!M21</f>
        <v/>
      </c>
      <c r="L73" s="1040">
        <f>B73+C73+D73+E73+F73+H73+J73+K73</f>
        <v/>
      </c>
      <c r="M73" s="647">
        <f>L73/655.957</f>
        <v/>
      </c>
    </row>
    <row r="74">
      <c r="A74" s="2" t="inlineStr">
        <is>
          <t>Février</t>
        </is>
      </c>
      <c r="B74" s="1038">
        <f>Février!D21</f>
        <v/>
      </c>
      <c r="C74" s="1038">
        <f>Février!E21</f>
        <v/>
      </c>
      <c r="D74" s="1038">
        <f>Février!F21</f>
        <v/>
      </c>
      <c r="E74" s="1038">
        <f>Février!G21</f>
        <v/>
      </c>
      <c r="F74" s="1038">
        <f>Février!H21</f>
        <v/>
      </c>
      <c r="G74" s="1038">
        <f>Février!I21</f>
        <v/>
      </c>
      <c r="H74" s="1038">
        <f>Février!J21</f>
        <v/>
      </c>
      <c r="I74" s="1038">
        <f>Février!K21</f>
        <v/>
      </c>
      <c r="J74" s="1038">
        <f>Février!L21</f>
        <v/>
      </c>
      <c r="K74" s="1038">
        <f>Février!M21</f>
        <v/>
      </c>
      <c r="L74" s="1040">
        <f>B74+C74+D74+E74+F74+H74+J74+K74</f>
        <v/>
      </c>
      <c r="M74" s="647">
        <f>L74/655.957</f>
        <v/>
      </c>
    </row>
    <row r="75">
      <c r="A75" s="2" t="inlineStr">
        <is>
          <t>Mars</t>
        </is>
      </c>
      <c r="B75" s="1038">
        <f>Mars!D21</f>
        <v/>
      </c>
      <c r="C75" s="1038">
        <f>Mars!E21</f>
        <v/>
      </c>
      <c r="D75" s="1038">
        <f>Mars!F21</f>
        <v/>
      </c>
      <c r="E75" s="1038">
        <f>Mars!G21</f>
        <v/>
      </c>
      <c r="F75" s="1038">
        <f>Mars!H21</f>
        <v/>
      </c>
      <c r="G75" s="1038">
        <f>Mars!I21</f>
        <v/>
      </c>
      <c r="H75" s="1038">
        <f>Mars!J21</f>
        <v/>
      </c>
      <c r="I75" s="1038">
        <f>Mars!K21</f>
        <v/>
      </c>
      <c r="J75" s="1038">
        <f>Mars!L21</f>
        <v/>
      </c>
      <c r="K75" s="1038">
        <f>Mars!M21</f>
        <v/>
      </c>
      <c r="L75" s="1040">
        <f>B75+C75+D75+E75+F75+H75+J75+K75</f>
        <v/>
      </c>
      <c r="M75" s="647">
        <f>L75/655.957</f>
        <v/>
      </c>
    </row>
    <row r="76">
      <c r="A76" s="2" t="inlineStr">
        <is>
          <t>Avril</t>
        </is>
      </c>
      <c r="B76" s="1039">
        <f>Avril!D21</f>
        <v/>
      </c>
      <c r="C76" s="1039">
        <f>Avril!E21</f>
        <v/>
      </c>
      <c r="D76" s="1039">
        <f>Avril!F21</f>
        <v/>
      </c>
      <c r="E76" s="1039">
        <f>Avril!G21</f>
        <v/>
      </c>
      <c r="F76" s="1039">
        <f>Avril!H21</f>
        <v/>
      </c>
      <c r="G76" s="1039">
        <f>Avril!I21</f>
        <v/>
      </c>
      <c r="H76" s="1039">
        <f>Avril!J21</f>
        <v/>
      </c>
      <c r="I76" s="1039">
        <f>Avril!K21</f>
        <v/>
      </c>
      <c r="J76" s="1039">
        <f>Avril!L21</f>
        <v/>
      </c>
      <c r="K76" s="1039">
        <f>Avril!M21</f>
        <v/>
      </c>
      <c r="L76" s="1040">
        <f>B76+C76+D76+E76+F76+H76+J76+K76</f>
        <v/>
      </c>
      <c r="M76" s="647">
        <f>L76/655.957</f>
        <v/>
      </c>
    </row>
    <row r="77">
      <c r="A77" s="2" t="inlineStr">
        <is>
          <t>Mai</t>
        </is>
      </c>
      <c r="B77" s="1038">
        <f>Mai!D21</f>
        <v/>
      </c>
      <c r="C77" s="1038">
        <f>Mai!E21</f>
        <v/>
      </c>
      <c r="D77" s="1038">
        <f>Mai!F21</f>
        <v/>
      </c>
      <c r="E77" s="1038">
        <f>Mai!G21</f>
        <v/>
      </c>
      <c r="F77" s="1038">
        <f>Mai!H21</f>
        <v/>
      </c>
      <c r="G77" s="1038">
        <f>Mai!I21</f>
        <v/>
      </c>
      <c r="H77" s="1038">
        <f>Mai!J21</f>
        <v/>
      </c>
      <c r="I77" s="1038">
        <f>Mai!K21</f>
        <v/>
      </c>
      <c r="J77" s="1038">
        <f>Mai!L21</f>
        <v/>
      </c>
      <c r="K77" s="1038">
        <f>Mai!M21</f>
        <v/>
      </c>
      <c r="L77" s="1040">
        <f>B77+C77+D77+E77+F77+H77+J77+K77</f>
        <v/>
      </c>
      <c r="M77" s="647">
        <f>L77/655.957</f>
        <v/>
      </c>
    </row>
    <row r="78">
      <c r="A78" s="2" t="inlineStr">
        <is>
          <t>Juin</t>
        </is>
      </c>
      <c r="B78" s="1038">
        <f>Juin!D21</f>
        <v/>
      </c>
      <c r="C78" s="1038">
        <f>Juin!E21</f>
        <v/>
      </c>
      <c r="D78" s="1038">
        <f>Juin!F21</f>
        <v/>
      </c>
      <c r="E78" s="1038">
        <f>Juin!G21</f>
        <v/>
      </c>
      <c r="F78" s="1038">
        <f>Juin!H21</f>
        <v/>
      </c>
      <c r="G78" s="1038">
        <f>Juin!I21</f>
        <v/>
      </c>
      <c r="H78" s="1038">
        <f>Juin!J21</f>
        <v/>
      </c>
      <c r="I78" s="1038">
        <f>Juin!K21</f>
        <v/>
      </c>
      <c r="J78" s="1038">
        <f>Juin!L21</f>
        <v/>
      </c>
      <c r="K78" s="1038">
        <f>Juin!M21</f>
        <v/>
      </c>
      <c r="L78" s="1040">
        <f>B78+C78+D78+E78+F78+H78+J78+K78</f>
        <v/>
      </c>
      <c r="M78" s="647">
        <f>L78/655.957</f>
        <v/>
      </c>
    </row>
    <row r="79">
      <c r="A79" s="2" t="inlineStr">
        <is>
          <t>Juillet</t>
        </is>
      </c>
      <c r="B79" s="1038">
        <f>Juillet!D21</f>
        <v/>
      </c>
      <c r="C79" s="1038">
        <f>Juillet!E21</f>
        <v/>
      </c>
      <c r="D79" s="1038">
        <f>Juillet!F21</f>
        <v/>
      </c>
      <c r="E79" s="1038">
        <f>Juillet!G21</f>
        <v/>
      </c>
      <c r="F79" s="1038">
        <f>Juillet!H21</f>
        <v/>
      </c>
      <c r="G79" s="1038">
        <f>Juillet!I21</f>
        <v/>
      </c>
      <c r="H79" s="1038">
        <f>Juillet!J21</f>
        <v/>
      </c>
      <c r="I79" s="1038">
        <f>Juillet!K21</f>
        <v/>
      </c>
      <c r="J79" s="1038">
        <f>Juillet!L21</f>
        <v/>
      </c>
      <c r="K79" s="1038">
        <f>Juillet!M21</f>
        <v/>
      </c>
      <c r="L79" s="1040">
        <f>B79+C79+D79+E79+F79+H79+J79+K79</f>
        <v/>
      </c>
      <c r="M79" s="647">
        <f>L79/655.957</f>
        <v/>
      </c>
    </row>
    <row r="80">
      <c r="A80" s="2" t="inlineStr">
        <is>
          <t>Août</t>
        </is>
      </c>
      <c r="B80" s="1038">
        <f>Aout!D21</f>
        <v/>
      </c>
      <c r="C80" s="1038">
        <f>Aout!E21</f>
        <v/>
      </c>
      <c r="D80" s="1038">
        <f>Aout!F21</f>
        <v/>
      </c>
      <c r="E80" s="1038">
        <f>Aout!G21</f>
        <v/>
      </c>
      <c r="F80" s="1038">
        <f>Aout!H21</f>
        <v/>
      </c>
      <c r="G80" s="1038">
        <f>Aout!I21</f>
        <v/>
      </c>
      <c r="H80" s="1038">
        <f>Aout!J21</f>
        <v/>
      </c>
      <c r="I80" s="1038">
        <f>Aout!K21</f>
        <v/>
      </c>
      <c r="J80" s="1038">
        <f>Aout!L21</f>
        <v/>
      </c>
      <c r="K80" s="1038">
        <f>Aout!M21</f>
        <v/>
      </c>
      <c r="L80" s="1040">
        <f>B80+C80+D80+E80+F80+H80+J80+K80</f>
        <v/>
      </c>
      <c r="M80" s="647">
        <f>L80/655.957</f>
        <v/>
      </c>
    </row>
    <row r="81">
      <c r="A81" s="2" t="inlineStr">
        <is>
          <t>Septembre</t>
        </is>
      </c>
      <c r="B81" s="1038">
        <f>Septembre!D21</f>
        <v/>
      </c>
      <c r="C81" s="1038">
        <f>Septembre!E21</f>
        <v/>
      </c>
      <c r="D81" s="1038">
        <f>Septembre!F21</f>
        <v/>
      </c>
      <c r="E81" s="1038">
        <f>Septembre!G21</f>
        <v/>
      </c>
      <c r="F81" s="1038">
        <f>Septembre!H21</f>
        <v/>
      </c>
      <c r="G81" s="1038">
        <f>Septembre!I21</f>
        <v/>
      </c>
      <c r="H81" s="1038">
        <f>Septembre!J21</f>
        <v/>
      </c>
      <c r="I81" s="1038">
        <f>Septembre!K21</f>
        <v/>
      </c>
      <c r="J81" s="1038">
        <f>Septembre!L21</f>
        <v/>
      </c>
      <c r="K81" s="1038">
        <f>Septembre!M21</f>
        <v/>
      </c>
      <c r="L81" s="1040">
        <f>B81+C81+D81+E81+F81+H81+J81+K81</f>
        <v/>
      </c>
      <c r="M81" s="647">
        <f>L81/655.957</f>
        <v/>
      </c>
    </row>
    <row r="82">
      <c r="A82" s="2" t="inlineStr">
        <is>
          <t>Octobre</t>
        </is>
      </c>
      <c r="B82" s="1038">
        <f>Octobre!D21</f>
        <v/>
      </c>
      <c r="C82" s="1038">
        <f>Octobre!E21</f>
        <v/>
      </c>
      <c r="D82" s="1038">
        <f>Octobre!F21</f>
        <v/>
      </c>
      <c r="E82" s="1038">
        <f>Octobre!G21</f>
        <v/>
      </c>
      <c r="F82" s="1038">
        <f>Octobre!H21</f>
        <v/>
      </c>
      <c r="G82" s="1038">
        <f>Octobre!I21</f>
        <v/>
      </c>
      <c r="H82" s="1038">
        <f>Octobre!J21</f>
        <v/>
      </c>
      <c r="I82" s="1038">
        <f>Octobre!K21</f>
        <v/>
      </c>
      <c r="J82" s="1038">
        <f>Octobre!L21</f>
        <v/>
      </c>
      <c r="K82" s="1038">
        <f>Octobre!M21</f>
        <v/>
      </c>
      <c r="L82" s="1040">
        <f>B82+C82+D82+E82+F82+H82+J82+K82</f>
        <v/>
      </c>
      <c r="M82" s="647">
        <f>L82/655.957</f>
        <v/>
      </c>
    </row>
    <row r="83">
      <c r="A83" s="2" t="inlineStr">
        <is>
          <t>Novembre</t>
        </is>
      </c>
      <c r="B83" s="1038">
        <f>Novembre!D21</f>
        <v/>
      </c>
      <c r="C83" s="1038">
        <f>Novembre!E21</f>
        <v/>
      </c>
      <c r="D83" s="1038">
        <f>Novembre!F21</f>
        <v/>
      </c>
      <c r="E83" s="1038">
        <f>Novembre!G21</f>
        <v/>
      </c>
      <c r="F83" s="1038">
        <f>Novembre!H21</f>
        <v/>
      </c>
      <c r="G83" s="1038">
        <f>Novembre!I21</f>
        <v/>
      </c>
      <c r="H83" s="1038">
        <f>Novembre!J21</f>
        <v/>
      </c>
      <c r="I83" s="1038">
        <f>Novembre!K21</f>
        <v/>
      </c>
      <c r="J83" s="1038">
        <f>Novembre!L21</f>
        <v/>
      </c>
      <c r="K83" s="1038">
        <f>Novembre!M21</f>
        <v/>
      </c>
      <c r="L83" s="1040">
        <f>B83+C83+D83+E83+F83+H83+J83+K83</f>
        <v/>
      </c>
      <c r="M83" s="647">
        <f>L83/655.957</f>
        <v/>
      </c>
    </row>
    <row r="84">
      <c r="A84" s="2" t="inlineStr">
        <is>
          <t>Décembre</t>
        </is>
      </c>
      <c r="B84" s="1038">
        <f>Décembre!D21</f>
        <v/>
      </c>
      <c r="C84" s="1038">
        <f>Décembre!E21</f>
        <v/>
      </c>
      <c r="D84" s="1038">
        <f>Décembre!F21</f>
        <v/>
      </c>
      <c r="E84" s="1038">
        <f>Décembre!G21</f>
        <v/>
      </c>
      <c r="F84" s="1038">
        <f>Décembre!H21</f>
        <v/>
      </c>
      <c r="G84" s="1038">
        <f>Décembre!I21</f>
        <v/>
      </c>
      <c r="H84" s="1038">
        <f>Décembre!J21</f>
        <v/>
      </c>
      <c r="I84" s="1038">
        <f>Décembre!K21</f>
        <v/>
      </c>
      <c r="J84" s="1038">
        <f>Décembre!L21</f>
        <v/>
      </c>
      <c r="K84" s="1038">
        <f>Décembre!M21</f>
        <v/>
      </c>
      <c r="L84" s="1040">
        <f>B84+C84+D84+E84+F84+H84+J84+K84</f>
        <v/>
      </c>
      <c r="M84" s="647">
        <f>L84/655.957</f>
        <v/>
      </c>
    </row>
    <row r="85">
      <c r="A85" s="2" t="inlineStr">
        <is>
          <t>Total Annuel (FCFA)</t>
        </is>
      </c>
      <c r="B85" s="1040">
        <f>SUM(B73:B84)</f>
        <v/>
      </c>
      <c r="C85" s="1040">
        <f>SUM(C73:C84)</f>
        <v/>
      </c>
      <c r="D85" s="1040">
        <f>SUM(D73:D84)</f>
        <v/>
      </c>
      <c r="E85" s="1040">
        <f>SUM(E73:E84)</f>
        <v/>
      </c>
      <c r="F85" s="1040">
        <f>SUM(F73:F84)</f>
        <v/>
      </c>
      <c r="G85" s="1040">
        <f>SUM(G73:G84)</f>
        <v/>
      </c>
      <c r="H85" s="1040">
        <f>SUM(H73:H84)</f>
        <v/>
      </c>
      <c r="I85" s="1040">
        <f>SUM(I73:I84)</f>
        <v/>
      </c>
      <c r="J85" s="1040">
        <f>SUM(J73:J84)</f>
        <v/>
      </c>
      <c r="K85" s="1041">
        <f>SUM(K73:K84)</f>
        <v/>
      </c>
      <c r="L85" s="1040">
        <f>SUM(L73:L84)</f>
        <v/>
      </c>
      <c r="M85" s="648" t="n"/>
    </row>
    <row r="86">
      <c r="A86" s="2" t="inlineStr">
        <is>
          <t>Total (€)</t>
        </is>
      </c>
      <c r="B86" s="652">
        <f>B85/655.957</f>
        <v/>
      </c>
      <c r="C86" s="652">
        <f>C85/655.957</f>
        <v/>
      </c>
      <c r="D86" s="652">
        <f>D85/655.957</f>
        <v/>
      </c>
      <c r="E86" s="652">
        <f>E85/655.957</f>
        <v/>
      </c>
      <c r="F86" s="652">
        <f>F85/655.957</f>
        <v/>
      </c>
      <c r="G86" s="652">
        <f>G85/655.957</f>
        <v/>
      </c>
      <c r="H86" s="652">
        <f>H85/655.957</f>
        <v/>
      </c>
      <c r="I86" s="652">
        <f>I85/655.957</f>
        <v/>
      </c>
      <c r="J86" s="652">
        <f>J85/655.957</f>
        <v/>
      </c>
      <c r="K86" s="653">
        <f>K85/655.957</f>
        <v/>
      </c>
      <c r="L86" s="644" t="n"/>
      <c r="M86" s="647">
        <f>L85/655.957</f>
        <v/>
      </c>
    </row>
    <row r="88">
      <c r="A88" s="539" t="inlineStr">
        <is>
          <t>Schlumberger</t>
        </is>
      </c>
      <c r="B88" s="655" t="inlineStr">
        <is>
          <t xml:space="preserve">Logistique </t>
        </is>
      </c>
      <c r="C88" s="655" t="inlineStr">
        <is>
          <t>IMAR</t>
        </is>
      </c>
      <c r="D88" s="1033" t="inlineStr">
        <is>
          <t>HINT</t>
        </is>
      </c>
      <c r="E88" s="1034" t="inlineStr">
        <is>
          <t>IAER</t>
        </is>
      </c>
      <c r="F88" s="1034" t="inlineStr">
        <is>
          <t>EAER</t>
        </is>
      </c>
      <c r="G88" s="1033" t="inlineStr">
        <is>
          <t>AERIEN</t>
        </is>
      </c>
      <c r="H88" s="1033" t="inlineStr">
        <is>
          <t>EXPORT</t>
        </is>
      </c>
      <c r="I88" s="1033" t="inlineStr">
        <is>
          <t>SIRT</t>
        </is>
      </c>
      <c r="J88" s="1033" t="inlineStr">
        <is>
          <t>Afritramp</t>
        </is>
      </c>
      <c r="K88" s="1033" t="inlineStr">
        <is>
          <t>Meet &amp; Greet</t>
        </is>
      </c>
      <c r="L88" s="1035" t="inlineStr">
        <is>
          <t>Total mensuel</t>
        </is>
      </c>
      <c r="M88" s="1036" t="inlineStr">
        <is>
          <t>Total mensuel</t>
        </is>
      </c>
    </row>
    <row r="89">
      <c r="A89" s="2" t="inlineStr">
        <is>
          <t>Janvier</t>
        </is>
      </c>
      <c r="B89" s="1038">
        <f>Janvier!D38</f>
        <v/>
      </c>
      <c r="C89" s="1038">
        <f>Janvier!E38</f>
        <v/>
      </c>
      <c r="D89" s="1038">
        <f>Janvier!F38</f>
        <v/>
      </c>
      <c r="E89" s="1038">
        <f>Janvier!G38</f>
        <v/>
      </c>
      <c r="F89" s="1038">
        <f>Janvier!H38</f>
        <v/>
      </c>
      <c r="G89" s="1038">
        <f>Janvier!I38</f>
        <v/>
      </c>
      <c r="H89" s="1038">
        <f>Janvier!J38</f>
        <v/>
      </c>
      <c r="I89" s="1038">
        <f>Janvier!K38</f>
        <v/>
      </c>
      <c r="J89" s="1038">
        <f>Janvier!L38</f>
        <v/>
      </c>
      <c r="K89" s="1043">
        <f>Janvier!M38</f>
        <v/>
      </c>
      <c r="L89" s="1040">
        <f>B89+C89+D89+E89+F89+H89+J89+K89</f>
        <v/>
      </c>
      <c r="M89" s="647">
        <f>L89/655.957</f>
        <v/>
      </c>
    </row>
    <row r="90">
      <c r="A90" s="2" t="inlineStr">
        <is>
          <t>Février</t>
        </is>
      </c>
      <c r="B90" s="1038">
        <f>Février!D38</f>
        <v/>
      </c>
      <c r="C90" s="1038">
        <f>Février!E38</f>
        <v/>
      </c>
      <c r="D90" s="1038">
        <f>Février!F38</f>
        <v/>
      </c>
      <c r="E90" s="1038">
        <f>Février!G38</f>
        <v/>
      </c>
      <c r="F90" s="1038">
        <f>Février!H38</f>
        <v/>
      </c>
      <c r="G90" s="1038">
        <f>Février!I38</f>
        <v/>
      </c>
      <c r="H90" s="1038">
        <f>Février!J38</f>
        <v/>
      </c>
      <c r="I90" s="1038">
        <f>Février!K38</f>
        <v/>
      </c>
      <c r="J90" s="1038">
        <f>Février!L38</f>
        <v/>
      </c>
      <c r="K90" s="1043">
        <f>Février!M38</f>
        <v/>
      </c>
      <c r="L90" s="1040">
        <f>B90+C90+D90+E90+F90+H90+J90+K90</f>
        <v/>
      </c>
      <c r="M90" s="647">
        <f>L90/655.957</f>
        <v/>
      </c>
    </row>
    <row r="91">
      <c r="A91" s="2" t="inlineStr">
        <is>
          <t>Mars</t>
        </is>
      </c>
      <c r="B91" s="1038">
        <f>Mars!D38</f>
        <v/>
      </c>
      <c r="C91" s="1038">
        <f>Mars!E38</f>
        <v/>
      </c>
      <c r="D91" s="1038">
        <f>Mars!F38</f>
        <v/>
      </c>
      <c r="E91" s="1038">
        <f>Mars!G38</f>
        <v/>
      </c>
      <c r="F91" s="1038">
        <f>Mars!H38</f>
        <v/>
      </c>
      <c r="G91" s="1038">
        <f>Mars!I38</f>
        <v/>
      </c>
      <c r="H91" s="1038">
        <f>Mars!J38</f>
        <v/>
      </c>
      <c r="I91" s="1038">
        <f>Mars!K38</f>
        <v/>
      </c>
      <c r="J91" s="1038">
        <f>Mars!L38</f>
        <v/>
      </c>
      <c r="K91" s="1043">
        <f>Mars!M38</f>
        <v/>
      </c>
      <c r="L91" s="1040">
        <f>B91+C91+D91+E91+F91+H91+J91+K91</f>
        <v/>
      </c>
      <c r="M91" s="647">
        <f>L91/655.957</f>
        <v/>
      </c>
    </row>
    <row r="92">
      <c r="A92" s="2" t="inlineStr">
        <is>
          <t>Avril</t>
        </is>
      </c>
      <c r="B92" s="1039">
        <f>Avril!D38</f>
        <v/>
      </c>
      <c r="C92" s="1039">
        <f>Avril!E38</f>
        <v/>
      </c>
      <c r="D92" s="1039">
        <f>Avril!F38</f>
        <v/>
      </c>
      <c r="E92" s="1039">
        <f>Avril!G38</f>
        <v/>
      </c>
      <c r="F92" s="1039">
        <f>Avril!H38</f>
        <v/>
      </c>
      <c r="G92" s="1039">
        <f>Avril!I38</f>
        <v/>
      </c>
      <c r="H92" s="1039">
        <f>Avril!J38</f>
        <v/>
      </c>
      <c r="I92" s="1039">
        <f>Avril!K38</f>
        <v/>
      </c>
      <c r="J92" s="1039">
        <f>Avril!L38</f>
        <v/>
      </c>
      <c r="K92" s="1042">
        <f>Avril!M38</f>
        <v/>
      </c>
      <c r="L92" s="1040">
        <f>B92+C92+D92+E92+F92+H92+J92+K92</f>
        <v/>
      </c>
      <c r="M92" s="647">
        <f>L92/655.957</f>
        <v/>
      </c>
    </row>
    <row r="93">
      <c r="A93" s="2" t="inlineStr">
        <is>
          <t>Mai</t>
        </is>
      </c>
      <c r="B93" s="1038">
        <f>Mai!D38</f>
        <v/>
      </c>
      <c r="C93" s="1038">
        <f>Mai!E38</f>
        <v/>
      </c>
      <c r="D93" s="1038">
        <f>Mai!F38</f>
        <v/>
      </c>
      <c r="E93" s="1038">
        <f>Mai!G38</f>
        <v/>
      </c>
      <c r="F93" s="1038">
        <f>Mai!H38</f>
        <v/>
      </c>
      <c r="G93" s="1038">
        <f>Mai!I38</f>
        <v/>
      </c>
      <c r="H93" s="1038">
        <f>Mai!J38</f>
        <v/>
      </c>
      <c r="I93" s="1038">
        <f>Mai!K38</f>
        <v/>
      </c>
      <c r="J93" s="1038">
        <f>Mai!L38</f>
        <v/>
      </c>
      <c r="K93" s="1043">
        <f>Mai!M38</f>
        <v/>
      </c>
      <c r="L93" s="1040">
        <f>B93+C93+D93+E93+F93+H93+J93+K93</f>
        <v/>
      </c>
      <c r="M93" s="647">
        <f>L93/655.957</f>
        <v/>
      </c>
    </row>
    <row r="94">
      <c r="A94" s="2" t="inlineStr">
        <is>
          <t>Juin</t>
        </is>
      </c>
      <c r="B94" s="1038">
        <f>Juin!D38</f>
        <v/>
      </c>
      <c r="C94" s="1038">
        <f>Juin!E38</f>
        <v/>
      </c>
      <c r="D94" s="1038">
        <f>Juin!F38</f>
        <v/>
      </c>
      <c r="E94" s="1038">
        <f>Juin!G38</f>
        <v/>
      </c>
      <c r="F94" s="1038">
        <f>Juin!H38</f>
        <v/>
      </c>
      <c r="G94" s="1038">
        <f>Juin!I38</f>
        <v/>
      </c>
      <c r="H94" s="1038">
        <f>Juin!J38</f>
        <v/>
      </c>
      <c r="I94" s="1038">
        <f>Juin!K38</f>
        <v/>
      </c>
      <c r="J94" s="1038">
        <f>Juin!L38</f>
        <v/>
      </c>
      <c r="K94" s="1043">
        <f>Juin!M38</f>
        <v/>
      </c>
      <c r="L94" s="1040">
        <f>B94+C94+D94+E94+F94+H94+J94+K94</f>
        <v/>
      </c>
      <c r="M94" s="647">
        <f>L94/655.957</f>
        <v/>
      </c>
    </row>
    <row r="95">
      <c r="A95" s="2" t="inlineStr">
        <is>
          <t>Juillet</t>
        </is>
      </c>
      <c r="B95" s="1038">
        <f>Juillet!D38</f>
        <v/>
      </c>
      <c r="C95" s="1038">
        <f>Juillet!E38</f>
        <v/>
      </c>
      <c r="D95" s="1038">
        <f>Juillet!F38</f>
        <v/>
      </c>
      <c r="E95" s="1038">
        <f>Juillet!G38</f>
        <v/>
      </c>
      <c r="F95" s="1038">
        <f>Juillet!H38</f>
        <v/>
      </c>
      <c r="G95" s="1038">
        <f>Juillet!I38</f>
        <v/>
      </c>
      <c r="H95" s="1038">
        <f>Juillet!J38</f>
        <v/>
      </c>
      <c r="I95" s="1038">
        <f>Juillet!K38</f>
        <v/>
      </c>
      <c r="J95" s="1038">
        <f>Juillet!L38</f>
        <v/>
      </c>
      <c r="K95" s="1038">
        <f>Juillet!M38</f>
        <v/>
      </c>
      <c r="L95" s="1040">
        <f>B95+C95+D95+E95+F95+H95+J95+K95</f>
        <v/>
      </c>
      <c r="M95" s="647">
        <f>L95/655.957</f>
        <v/>
      </c>
    </row>
    <row r="96">
      <c r="A96" s="2" t="inlineStr">
        <is>
          <t>Août</t>
        </is>
      </c>
      <c r="B96" s="1038">
        <f>Aout!D38</f>
        <v/>
      </c>
      <c r="C96" s="1038">
        <f>Aout!E38</f>
        <v/>
      </c>
      <c r="D96" s="1038">
        <f>Aout!F38</f>
        <v/>
      </c>
      <c r="E96" s="1038">
        <f>Aout!G38</f>
        <v/>
      </c>
      <c r="F96" s="1038">
        <f>Aout!H38</f>
        <v/>
      </c>
      <c r="G96" s="1038">
        <f>Aout!I38</f>
        <v/>
      </c>
      <c r="H96" s="1038">
        <f>Aout!J38</f>
        <v/>
      </c>
      <c r="I96" s="1038">
        <f>Aout!K38</f>
        <v/>
      </c>
      <c r="J96" s="1038">
        <f>Aout!L38</f>
        <v/>
      </c>
      <c r="K96" s="1038">
        <f>Aout!M38</f>
        <v/>
      </c>
      <c r="L96" s="1040">
        <f>B96+C96+D96+E96+F96+H96+J96+K96</f>
        <v/>
      </c>
      <c r="M96" s="647">
        <f>L96/655.957</f>
        <v/>
      </c>
    </row>
    <row r="97">
      <c r="A97" s="2" t="inlineStr">
        <is>
          <t>Septembre</t>
        </is>
      </c>
      <c r="B97" s="1038">
        <f>Septembre!D38</f>
        <v/>
      </c>
      <c r="C97" s="1038">
        <f>Septembre!E38</f>
        <v/>
      </c>
      <c r="D97" s="1038">
        <f>Septembre!F38</f>
        <v/>
      </c>
      <c r="E97" s="1038">
        <f>Septembre!G38</f>
        <v/>
      </c>
      <c r="F97" s="1038">
        <f>Septembre!H38</f>
        <v/>
      </c>
      <c r="G97" s="1038">
        <f>Septembre!I38</f>
        <v/>
      </c>
      <c r="H97" s="1038">
        <f>Septembre!J38</f>
        <v/>
      </c>
      <c r="I97" s="1038">
        <f>Septembre!K38</f>
        <v/>
      </c>
      <c r="J97" s="1038">
        <f>Septembre!L38</f>
        <v/>
      </c>
      <c r="K97" s="1038">
        <f>Septembre!M38</f>
        <v/>
      </c>
      <c r="L97" s="1040">
        <f>B97+C97+D97+E97+F97+H97+J97+K97</f>
        <v/>
      </c>
      <c r="M97" s="647">
        <f>L97/655.957</f>
        <v/>
      </c>
    </row>
    <row r="98">
      <c r="A98" s="2" t="inlineStr">
        <is>
          <t>Octobre</t>
        </is>
      </c>
      <c r="B98" s="1038">
        <f>Octobre!D38</f>
        <v/>
      </c>
      <c r="C98" s="1038">
        <f>Octobre!E38</f>
        <v/>
      </c>
      <c r="D98" s="1038">
        <f>Octobre!F38</f>
        <v/>
      </c>
      <c r="E98" s="1038">
        <f>Octobre!G38</f>
        <v/>
      </c>
      <c r="F98" s="1038">
        <f>Octobre!H38</f>
        <v/>
      </c>
      <c r="G98" s="1038">
        <f>Octobre!I38</f>
        <v/>
      </c>
      <c r="H98" s="1038">
        <f>Octobre!J38</f>
        <v/>
      </c>
      <c r="I98" s="1038">
        <f>Octobre!K38</f>
        <v/>
      </c>
      <c r="J98" s="1038">
        <f>Octobre!L38</f>
        <v/>
      </c>
      <c r="K98" s="1038">
        <f>Octobre!M38</f>
        <v/>
      </c>
      <c r="L98" s="1040">
        <f>B98+C98+D98+E98+F98+H98+J98+K98</f>
        <v/>
      </c>
      <c r="M98" s="647">
        <f>L98/655.957</f>
        <v/>
      </c>
    </row>
    <row r="99">
      <c r="A99" s="2" t="inlineStr">
        <is>
          <t>Novembre</t>
        </is>
      </c>
      <c r="B99" s="1038">
        <f>Novembre!D38</f>
        <v/>
      </c>
      <c r="C99" s="1038">
        <f>Novembre!E38</f>
        <v/>
      </c>
      <c r="D99" s="1038">
        <f>Novembre!F38</f>
        <v/>
      </c>
      <c r="E99" s="1038">
        <f>Novembre!G38</f>
        <v/>
      </c>
      <c r="F99" s="1038">
        <f>Novembre!H38</f>
        <v/>
      </c>
      <c r="G99" s="1038">
        <f>Novembre!I38</f>
        <v/>
      </c>
      <c r="H99" s="1038">
        <f>Novembre!J38</f>
        <v/>
      </c>
      <c r="I99" s="1038">
        <f>Novembre!K38</f>
        <v/>
      </c>
      <c r="J99" s="1038">
        <f>Novembre!L38</f>
        <v/>
      </c>
      <c r="K99" s="1038">
        <f>Novembre!M38</f>
        <v/>
      </c>
      <c r="L99" s="1040">
        <f>B99+C99+D99+E99+F99+H99+J99+K99</f>
        <v/>
      </c>
      <c r="M99" s="647">
        <f>L99/655.957</f>
        <v/>
      </c>
    </row>
    <row r="100">
      <c r="A100" s="2" t="inlineStr">
        <is>
          <t>Décembre</t>
        </is>
      </c>
      <c r="B100" s="1038">
        <f>Décembre!D38</f>
        <v/>
      </c>
      <c r="C100" s="1038">
        <f>Décembre!E38</f>
        <v/>
      </c>
      <c r="D100" s="1038">
        <f>Décembre!F38</f>
        <v/>
      </c>
      <c r="E100" s="1038">
        <f>Décembre!G38</f>
        <v/>
      </c>
      <c r="F100" s="1038">
        <f>Décembre!H38</f>
        <v/>
      </c>
      <c r="G100" s="1038">
        <f>Décembre!I38</f>
        <v/>
      </c>
      <c r="H100" s="1038">
        <f>Décembre!J38</f>
        <v/>
      </c>
      <c r="I100" s="1038">
        <f>Décembre!K38</f>
        <v/>
      </c>
      <c r="J100" s="1038">
        <f>Décembre!L38</f>
        <v/>
      </c>
      <c r="K100" s="1038">
        <f>Décembre!M38</f>
        <v/>
      </c>
      <c r="L100" s="1040">
        <f>B100+C100+D100+E100+F100+H100+J100+K100</f>
        <v/>
      </c>
      <c r="M100" s="647">
        <f>L100/655.957</f>
        <v/>
      </c>
    </row>
    <row r="101">
      <c r="A101" s="2" t="inlineStr">
        <is>
          <t>Total Annuel (FCFA)</t>
        </is>
      </c>
      <c r="B101" s="1040">
        <f>SUM(B89:B100)</f>
        <v/>
      </c>
      <c r="C101" s="1040">
        <f>SUM(C89:C100)</f>
        <v/>
      </c>
      <c r="D101" s="1040">
        <f>SUM(D89:D100)</f>
        <v/>
      </c>
      <c r="E101" s="1040">
        <f>SUM(E89:E100)</f>
        <v/>
      </c>
      <c r="F101" s="1040">
        <f>SUM(F89:F100)</f>
        <v/>
      </c>
      <c r="G101" s="1040">
        <f>SUM(G89:G100)</f>
        <v/>
      </c>
      <c r="H101" s="1040">
        <f>SUM(H89:H100)</f>
        <v/>
      </c>
      <c r="I101" s="1040">
        <f>SUM(I89:I100)</f>
        <v/>
      </c>
      <c r="J101" s="1040">
        <f>SUM(J89:J100)</f>
        <v/>
      </c>
      <c r="K101" s="1041">
        <f>SUM(K89:K100)</f>
        <v/>
      </c>
      <c r="L101" s="1040">
        <f>SUM(L89:L100)</f>
        <v/>
      </c>
      <c r="M101" s="648" t="n"/>
    </row>
    <row r="102">
      <c r="A102" s="2" t="inlineStr">
        <is>
          <t>Total (€)</t>
        </is>
      </c>
      <c r="B102" s="652">
        <f>B101/655.957</f>
        <v/>
      </c>
      <c r="C102" s="652">
        <f>C101/655.957</f>
        <v/>
      </c>
      <c r="D102" s="652">
        <f>D101/655.957</f>
        <v/>
      </c>
      <c r="E102" s="652">
        <f>E101/655.957</f>
        <v/>
      </c>
      <c r="F102" s="652">
        <f>F101/655.957</f>
        <v/>
      </c>
      <c r="G102" s="652">
        <f>G101/655.957</f>
        <v/>
      </c>
      <c r="H102" s="652">
        <f>H101/655.957</f>
        <v/>
      </c>
      <c r="I102" s="652">
        <f>I101/655.957</f>
        <v/>
      </c>
      <c r="J102" s="652">
        <f>J101/655.957</f>
        <v/>
      </c>
      <c r="K102" s="653">
        <f>K101/655.957</f>
        <v/>
      </c>
      <c r="L102" s="644" t="n"/>
      <c r="M102" s="647">
        <f>L101/655.957</f>
        <v/>
      </c>
    </row>
    <row r="103">
      <c r="M103" s="649" t="n"/>
    </row>
    <row r="105">
      <c r="A105" s="539" t="inlineStr">
        <is>
          <t>Total E&amp;P</t>
        </is>
      </c>
      <c r="B105" s="655" t="inlineStr">
        <is>
          <t xml:space="preserve">Logistique </t>
        </is>
      </c>
      <c r="C105" s="655" t="inlineStr">
        <is>
          <t>IMAR</t>
        </is>
      </c>
      <c r="D105" s="1033" t="inlineStr">
        <is>
          <t>HINT</t>
        </is>
      </c>
      <c r="E105" s="1034" t="inlineStr">
        <is>
          <t>IAER</t>
        </is>
      </c>
      <c r="F105" s="1034" t="inlineStr">
        <is>
          <t>EAER</t>
        </is>
      </c>
      <c r="G105" s="1033" t="inlineStr">
        <is>
          <t>AERIEN</t>
        </is>
      </c>
      <c r="H105" s="1033" t="inlineStr">
        <is>
          <t>EXPORT</t>
        </is>
      </c>
      <c r="I105" s="1033" t="inlineStr">
        <is>
          <t>SIRT</t>
        </is>
      </c>
      <c r="J105" s="1033" t="inlineStr">
        <is>
          <t>Afritramp</t>
        </is>
      </c>
      <c r="K105" s="1033" t="inlineStr">
        <is>
          <t>Meet &amp; Greet</t>
        </is>
      </c>
      <c r="L105" s="1035" t="inlineStr">
        <is>
          <t>Total mensuel</t>
        </is>
      </c>
      <c r="M105" s="1036" t="inlineStr">
        <is>
          <t>Total mensuel</t>
        </is>
      </c>
    </row>
    <row r="106">
      <c r="A106" s="2" t="inlineStr">
        <is>
          <t>Janvier</t>
        </is>
      </c>
      <c r="B106" s="1038">
        <f>Janvier!D45</f>
        <v/>
      </c>
      <c r="C106" s="1038">
        <f>Janvier!E45</f>
        <v/>
      </c>
      <c r="D106" s="1038">
        <f>Janvier!F45</f>
        <v/>
      </c>
      <c r="E106" s="1038">
        <f>Janvier!G45</f>
        <v/>
      </c>
      <c r="F106" s="1038">
        <f>Janvier!H45</f>
        <v/>
      </c>
      <c r="G106" s="1038">
        <f>Janvier!I45</f>
        <v/>
      </c>
      <c r="H106" s="1038">
        <f>Janvier!J45</f>
        <v/>
      </c>
      <c r="I106" s="1038">
        <f>Janvier!K45</f>
        <v/>
      </c>
      <c r="J106" s="1038">
        <f>Janvier!L45</f>
        <v/>
      </c>
      <c r="K106" s="1038">
        <f>Janvier!M45</f>
        <v/>
      </c>
      <c r="L106" s="1040">
        <f>B106+C106+D106+E106+F106+H106+J106+K106</f>
        <v/>
      </c>
      <c r="M106" s="647">
        <f>L106/655.957</f>
        <v/>
      </c>
    </row>
    <row r="107">
      <c r="A107" s="2" t="inlineStr">
        <is>
          <t>Février</t>
        </is>
      </c>
      <c r="B107" s="1038">
        <f>Février!D45</f>
        <v/>
      </c>
      <c r="C107" s="1038">
        <f>Février!E45</f>
        <v/>
      </c>
      <c r="D107" s="1038">
        <f>Février!F45</f>
        <v/>
      </c>
      <c r="E107" s="1038">
        <f>Février!G45</f>
        <v/>
      </c>
      <c r="F107" s="1038">
        <f>Février!H45</f>
        <v/>
      </c>
      <c r="G107" s="1038">
        <f>Février!I45</f>
        <v/>
      </c>
      <c r="H107" s="1038">
        <f>Février!J45</f>
        <v/>
      </c>
      <c r="I107" s="1038">
        <f>Février!K45</f>
        <v/>
      </c>
      <c r="J107" s="1038">
        <f>Février!L45</f>
        <v/>
      </c>
      <c r="K107" s="1038">
        <f>Février!M45</f>
        <v/>
      </c>
      <c r="L107" s="1040">
        <f>B107+C107+D107+E107+F107+H107+J107+K107</f>
        <v/>
      </c>
      <c r="M107" s="647">
        <f>L107/655.957</f>
        <v/>
      </c>
    </row>
    <row r="108">
      <c r="A108" s="2" t="inlineStr">
        <is>
          <t>Mars</t>
        </is>
      </c>
      <c r="B108" s="1038">
        <f>Mars!D45</f>
        <v/>
      </c>
      <c r="C108" s="1038">
        <f>Mars!E45</f>
        <v/>
      </c>
      <c r="D108" s="1038">
        <f>Mars!F45</f>
        <v/>
      </c>
      <c r="E108" s="1038">
        <f>Mars!G45</f>
        <v/>
      </c>
      <c r="F108" s="1038">
        <f>Mars!H45</f>
        <v/>
      </c>
      <c r="G108" s="1038">
        <f>Mars!I45</f>
        <v/>
      </c>
      <c r="H108" s="1038">
        <f>Mars!J45</f>
        <v/>
      </c>
      <c r="I108" s="1038">
        <f>Mars!K45</f>
        <v/>
      </c>
      <c r="J108" s="1038">
        <f>Mars!L45</f>
        <v/>
      </c>
      <c r="K108" s="1038">
        <f>Mars!M45</f>
        <v/>
      </c>
      <c r="L108" s="1040">
        <f>B108+C108+D108+E108+F108+H108+J108+K108</f>
        <v/>
      </c>
      <c r="M108" s="647">
        <f>L108/655.957</f>
        <v/>
      </c>
    </row>
    <row r="109">
      <c r="A109" s="2" t="inlineStr">
        <is>
          <t>Avril</t>
        </is>
      </c>
      <c r="B109" s="1039">
        <f>Avril!D45</f>
        <v/>
      </c>
      <c r="C109" s="1039">
        <f>Avril!E45</f>
        <v/>
      </c>
      <c r="D109" s="1039">
        <f>Avril!F45</f>
        <v/>
      </c>
      <c r="E109" s="1039">
        <f>Avril!G45</f>
        <v/>
      </c>
      <c r="F109" s="1039">
        <f>Avril!H45</f>
        <v/>
      </c>
      <c r="G109" s="1039">
        <f>Avril!I45</f>
        <v/>
      </c>
      <c r="H109" s="1039">
        <f>Avril!J45</f>
        <v/>
      </c>
      <c r="I109" s="1039">
        <f>Avril!K45</f>
        <v/>
      </c>
      <c r="J109" s="1039">
        <f>Avril!L45</f>
        <v/>
      </c>
      <c r="K109" s="1039">
        <f>Avril!M45</f>
        <v/>
      </c>
      <c r="L109" s="1040">
        <f>B109+C109+D109+E109+F109+H109+J109+K109</f>
        <v/>
      </c>
      <c r="M109" s="647">
        <f>L109/655.957</f>
        <v/>
      </c>
    </row>
    <row r="110">
      <c r="A110" s="2" t="inlineStr">
        <is>
          <t>Mai</t>
        </is>
      </c>
      <c r="B110" s="1038">
        <f>Mai!D45</f>
        <v/>
      </c>
      <c r="C110" s="1038">
        <f>Mai!E45</f>
        <v/>
      </c>
      <c r="D110" s="1038">
        <f>Mai!F45</f>
        <v/>
      </c>
      <c r="E110" s="1038">
        <f>Mai!G45</f>
        <v/>
      </c>
      <c r="F110" s="1038">
        <f>Mai!H45</f>
        <v/>
      </c>
      <c r="G110" s="1038">
        <f>Mai!I45</f>
        <v/>
      </c>
      <c r="H110" s="1038">
        <f>Mai!J45</f>
        <v/>
      </c>
      <c r="I110" s="1038">
        <f>Mai!K45</f>
        <v/>
      </c>
      <c r="J110" s="1038">
        <f>Mai!L45</f>
        <v/>
      </c>
      <c r="K110" s="1038">
        <f>Mai!M45</f>
        <v/>
      </c>
      <c r="L110" s="1040">
        <f>B110+C110+D110+E110+F110+H110+J110+K110</f>
        <v/>
      </c>
      <c r="M110" s="647">
        <f>L110/655.957</f>
        <v/>
      </c>
    </row>
    <row r="111">
      <c r="A111" s="2" t="inlineStr">
        <is>
          <t>Juin</t>
        </is>
      </c>
      <c r="B111" s="1038">
        <f>Juin!D45</f>
        <v/>
      </c>
      <c r="C111" s="1038">
        <f>Juin!E45</f>
        <v/>
      </c>
      <c r="D111" s="1038">
        <f>Juin!F45</f>
        <v/>
      </c>
      <c r="E111" s="1038">
        <f>Juin!G45</f>
        <v/>
      </c>
      <c r="F111" s="1038">
        <f>Juin!H45</f>
        <v/>
      </c>
      <c r="G111" s="1038">
        <f>Juin!I45</f>
        <v/>
      </c>
      <c r="H111" s="1038">
        <f>Juin!J45</f>
        <v/>
      </c>
      <c r="I111" s="1038">
        <f>Juin!K45</f>
        <v/>
      </c>
      <c r="J111" s="1038">
        <f>Juin!L45</f>
        <v/>
      </c>
      <c r="K111" s="1038">
        <f>Juin!M45</f>
        <v/>
      </c>
      <c r="L111" s="1040">
        <f>B111+C111+D111+E111+F111+H111+J111+K111</f>
        <v/>
      </c>
      <c r="M111" s="647">
        <f>L111/655.957</f>
        <v/>
      </c>
    </row>
    <row r="112">
      <c r="A112" s="2" t="inlineStr">
        <is>
          <t>Juillet</t>
        </is>
      </c>
      <c r="B112" s="1038">
        <f>Juillet!D45</f>
        <v/>
      </c>
      <c r="C112" s="1038">
        <f>Juillet!E45</f>
        <v/>
      </c>
      <c r="D112" s="1038">
        <f>Juillet!F45</f>
        <v/>
      </c>
      <c r="E112" s="1038">
        <f>Juillet!G45</f>
        <v/>
      </c>
      <c r="F112" s="1038">
        <f>Juillet!H45</f>
        <v/>
      </c>
      <c r="G112" s="1038">
        <f>Juillet!I45</f>
        <v/>
      </c>
      <c r="H112" s="1038">
        <f>Juillet!J45</f>
        <v/>
      </c>
      <c r="I112" s="1038">
        <f>Juillet!K45</f>
        <v/>
      </c>
      <c r="J112" s="1038">
        <f>Juillet!L45</f>
        <v/>
      </c>
      <c r="K112" s="1038">
        <f>Juillet!M45</f>
        <v/>
      </c>
      <c r="L112" s="1040">
        <f>B112+C112+D112+E112+F112+H112+J112+K112</f>
        <v/>
      </c>
      <c r="M112" s="647">
        <f>L112/655.957</f>
        <v/>
      </c>
    </row>
    <row r="113">
      <c r="A113" s="2" t="inlineStr">
        <is>
          <t>Août</t>
        </is>
      </c>
      <c r="B113" s="1038">
        <f>Aout!D45</f>
        <v/>
      </c>
      <c r="C113" s="1038">
        <f>Aout!E45</f>
        <v/>
      </c>
      <c r="D113" s="1038">
        <f>Aout!F45</f>
        <v/>
      </c>
      <c r="E113" s="1038">
        <f>Aout!G45</f>
        <v/>
      </c>
      <c r="F113" s="1038">
        <f>Aout!H45</f>
        <v/>
      </c>
      <c r="G113" s="1038">
        <f>Aout!I45</f>
        <v/>
      </c>
      <c r="H113" s="1038">
        <f>Aout!J45</f>
        <v/>
      </c>
      <c r="I113" s="1038">
        <f>Aout!K45</f>
        <v/>
      </c>
      <c r="J113" s="1038">
        <f>Aout!L45</f>
        <v/>
      </c>
      <c r="K113" s="1038">
        <f>Aout!M45</f>
        <v/>
      </c>
      <c r="L113" s="1040">
        <f>B113+C113+D113+E113+F113+H113+J113+K113</f>
        <v/>
      </c>
      <c r="M113" s="647">
        <f>L113/655.957</f>
        <v/>
      </c>
    </row>
    <row r="114">
      <c r="A114" s="2" t="inlineStr">
        <is>
          <t>Septembre</t>
        </is>
      </c>
      <c r="B114" s="1038">
        <f>Septembre!D45</f>
        <v/>
      </c>
      <c r="C114" s="1038">
        <f>Septembre!E45</f>
        <v/>
      </c>
      <c r="D114" s="1038">
        <f>Septembre!F45</f>
        <v/>
      </c>
      <c r="E114" s="1038">
        <f>Septembre!G45</f>
        <v/>
      </c>
      <c r="F114" s="1038">
        <f>Septembre!H45</f>
        <v/>
      </c>
      <c r="G114" s="1038">
        <f>Septembre!I45</f>
        <v/>
      </c>
      <c r="H114" s="1038">
        <f>Septembre!J45</f>
        <v/>
      </c>
      <c r="I114" s="1038">
        <f>Septembre!K45</f>
        <v/>
      </c>
      <c r="J114" s="1038">
        <f>Septembre!L45</f>
        <v/>
      </c>
      <c r="K114" s="1038">
        <f>Septembre!M45</f>
        <v/>
      </c>
      <c r="L114" s="1040">
        <f>B114+C114+D114+E114+F114+H114+J114+K114</f>
        <v/>
      </c>
      <c r="M114" s="647">
        <f>L114/655.957</f>
        <v/>
      </c>
    </row>
    <row r="115">
      <c r="A115" s="2" t="inlineStr">
        <is>
          <t>Octobre</t>
        </is>
      </c>
      <c r="B115" s="1038">
        <f>Octobre!D45</f>
        <v/>
      </c>
      <c r="C115" s="1038">
        <f>Octobre!E45</f>
        <v/>
      </c>
      <c r="D115" s="1038">
        <f>Octobre!F45</f>
        <v/>
      </c>
      <c r="E115" s="1038">
        <f>Octobre!G45</f>
        <v/>
      </c>
      <c r="F115" s="1038">
        <f>Octobre!H45</f>
        <v/>
      </c>
      <c r="G115" s="1038">
        <f>Octobre!I45</f>
        <v/>
      </c>
      <c r="H115" s="1038">
        <f>Octobre!J45</f>
        <v/>
      </c>
      <c r="I115" s="1038">
        <f>Octobre!K45</f>
        <v/>
      </c>
      <c r="J115" s="1038">
        <f>Octobre!L45</f>
        <v/>
      </c>
      <c r="K115" s="1038">
        <f>Octobre!M45</f>
        <v/>
      </c>
      <c r="L115" s="1040">
        <f>B115+C115+D115+E115+F115+H115+J115+K115</f>
        <v/>
      </c>
      <c r="M115" s="647">
        <f>L115/655.957</f>
        <v/>
      </c>
    </row>
    <row r="116">
      <c r="A116" s="2" t="inlineStr">
        <is>
          <t>Novembre</t>
        </is>
      </c>
      <c r="B116" s="1038">
        <f>Novembre!D45</f>
        <v/>
      </c>
      <c r="C116" s="1038">
        <f>Novembre!E45</f>
        <v/>
      </c>
      <c r="D116" s="1038">
        <f>Novembre!F45</f>
        <v/>
      </c>
      <c r="E116" s="1038">
        <f>Novembre!G45</f>
        <v/>
      </c>
      <c r="F116" s="1038">
        <f>Novembre!H45</f>
        <v/>
      </c>
      <c r="G116" s="1038">
        <f>Novembre!I45</f>
        <v/>
      </c>
      <c r="H116" s="1038">
        <f>Novembre!J45</f>
        <v/>
      </c>
      <c r="I116" s="1038">
        <f>Novembre!K45</f>
        <v/>
      </c>
      <c r="J116" s="1038">
        <f>Novembre!L45</f>
        <v/>
      </c>
      <c r="K116" s="1038">
        <f>Novembre!M45</f>
        <v/>
      </c>
      <c r="L116" s="1040">
        <f>B116+C116+D116+E116+F116+H116+J116+K116</f>
        <v/>
      </c>
      <c r="M116" s="647">
        <f>L116/655.957</f>
        <v/>
      </c>
    </row>
    <row r="117">
      <c r="A117" s="2" t="inlineStr">
        <is>
          <t>Décembre</t>
        </is>
      </c>
      <c r="B117" s="1038">
        <f>Décembre!D45</f>
        <v/>
      </c>
      <c r="C117" s="1038">
        <f>Décembre!E45</f>
        <v/>
      </c>
      <c r="D117" s="1038">
        <f>Décembre!F45</f>
        <v/>
      </c>
      <c r="E117" s="1038">
        <f>Décembre!G45</f>
        <v/>
      </c>
      <c r="F117" s="1038">
        <f>Décembre!H45</f>
        <v/>
      </c>
      <c r="G117" s="1038">
        <f>Décembre!I45</f>
        <v/>
      </c>
      <c r="H117" s="1038">
        <f>Décembre!J45</f>
        <v/>
      </c>
      <c r="I117" s="1038">
        <f>Décembre!K45</f>
        <v/>
      </c>
      <c r="J117" s="1038">
        <f>Décembre!L45</f>
        <v/>
      </c>
      <c r="K117" s="1038">
        <f>Décembre!M45</f>
        <v/>
      </c>
      <c r="L117" s="1040">
        <f>B117+C117+D117+E117+F117+H117+J117+K117</f>
        <v/>
      </c>
      <c r="M117" s="647">
        <f>L117/655.957</f>
        <v/>
      </c>
    </row>
    <row r="118">
      <c r="A118" s="2" t="inlineStr">
        <is>
          <t>Total Annuel (FCFA)</t>
        </is>
      </c>
      <c r="B118" s="1040">
        <f>SUM(B106:B117)</f>
        <v/>
      </c>
      <c r="C118" s="1040">
        <f>SUM(C106:C117)</f>
        <v/>
      </c>
      <c r="D118" s="1040">
        <f>SUM(D106:D117)</f>
        <v/>
      </c>
      <c r="E118" s="1040">
        <f>SUM(E106:E117)</f>
        <v/>
      </c>
      <c r="F118" s="1040">
        <f>SUM(F106:F117)</f>
        <v/>
      </c>
      <c r="G118" s="1040">
        <f>SUM(G106:G117)</f>
        <v/>
      </c>
      <c r="H118" s="1040">
        <f>SUM(H106:H117)</f>
        <v/>
      </c>
      <c r="I118" s="1040">
        <f>SUM(I106:I117)</f>
        <v/>
      </c>
      <c r="J118" s="1040">
        <f>SUM(J106:J117)</f>
        <v/>
      </c>
      <c r="K118" s="1041">
        <f>SUM(K106:K117)</f>
        <v/>
      </c>
      <c r="L118" s="1040">
        <f>SUM(L106:L117)</f>
        <v/>
      </c>
      <c r="M118" s="648" t="n"/>
    </row>
    <row r="119">
      <c r="A119" s="2" t="inlineStr">
        <is>
          <t>Total (€)</t>
        </is>
      </c>
      <c r="B119" s="652">
        <f>B118/655.957</f>
        <v/>
      </c>
      <c r="C119" s="652">
        <f>C118/655.957</f>
        <v/>
      </c>
      <c r="D119" s="652">
        <f>D118/655.957</f>
        <v/>
      </c>
      <c r="E119" s="652">
        <f>E118/655.957</f>
        <v/>
      </c>
      <c r="F119" s="652">
        <f>F118/655.957</f>
        <v/>
      </c>
      <c r="G119" s="652">
        <f>G118/655.957</f>
        <v/>
      </c>
      <c r="H119" s="652">
        <f>H118/655.957</f>
        <v/>
      </c>
      <c r="I119" s="652">
        <f>I118/655.957</f>
        <v/>
      </c>
      <c r="J119" s="652">
        <f>J118/655.957</f>
        <v/>
      </c>
      <c r="K119" s="653">
        <f>K118/655.957</f>
        <v/>
      </c>
      <c r="L119" s="644" t="n"/>
      <c r="M119" s="647">
        <f>L118/655.957</f>
        <v/>
      </c>
    </row>
  </sheetData>
  <pageMargins left="0.7" right="0.7" top="0.75" bottom="0.75" header="0.3" footer="0.3"/>
  <pageSetup orientation="portrait" paperSize="9"/>
  <headerFooter>
    <oddHeader/>
    <oddFooter>&amp;L&amp;"Calibri"&amp;10 &amp;K000000_x000d_# Sensitivity: Internal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MARION Edouard</dc:creator>
  <dcterms:created xsi:type="dcterms:W3CDTF">2013-02-05T09:37:54Z</dcterms:created>
  <dcterms:modified xsi:type="dcterms:W3CDTF">2026-06-03T13:58:42Z</dcterms:modified>
  <cp:lastModifiedBy>Diarrassouba Ibrahima (AGL)</cp:lastModifiedBy>
  <cp:lastPrinted>2021-06-02T15:52:48Z</cp:lastPrinted>
</cp:coreProperties>
</file>