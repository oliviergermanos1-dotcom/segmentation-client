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20" windowWidth="19180" windowHeight="10060" tabRatio="600" firstSheet="7" activeTab="13" autoFilterDateGrouping="1"/>
  </bookViews>
  <sheets>
    <sheet name="Prévisions Mois N" sheetId="1" state="visible" r:id="rId1"/>
    <sheet name="Occupation (2)" sheetId="2" state="hidden" r:id="rId2"/>
    <sheet name="Gestion base logistique" sheetId="3" state="hidden" r:id="rId3"/>
    <sheet name="Récap Global" sheetId="4" state="visible" r:id="rId4"/>
    <sheet name="Cumul annuel" sheetId="5" state="visible" r:id="rId5"/>
    <sheet name="Janvier" sheetId="6" state="visible" r:id="rId6"/>
    <sheet name="Février" sheetId="7" state="visible" r:id="rId7"/>
    <sheet name="Mars" sheetId="8" state="visible" r:id="rId8"/>
    <sheet name="Avril" sheetId="9" state="visible" r:id="rId9"/>
    <sheet name="Mai" sheetId="10" state="visible" r:id="rId10"/>
    <sheet name="Juin" sheetId="11" state="visible" r:id="rId11"/>
    <sheet name="Juillet" sheetId="12" state="visible" r:id="rId12"/>
    <sheet name="Aout" sheetId="13" state="visible" r:id="rId13"/>
    <sheet name="Septembre" sheetId="14" state="visible" r:id="rId14"/>
    <sheet name="Octobre" sheetId="15" state="visible" r:id="rId15"/>
    <sheet name="Novembre" sheetId="16" state="visible" r:id="rId16"/>
    <sheet name="Décembre" sheetId="17" state="visible" r:id="rId17"/>
  </sheets>
  <externalReferences>
    <externalReference r:id="rId18"/>
  </externalReferences>
  <definedNames>
    <definedName name="_xlnm.Print_Area" localSheetId="0">'Prévisions Mois N'!$A$1:$L$52</definedName>
    <definedName name="_xlnm.Print_Area" localSheetId="4">'Cumul annuel'!$A$1:$M$54</definedName>
    <definedName name="_xlnm.Print_Area" localSheetId="5">'Janvier'!$A$1:$O$53</definedName>
    <definedName name="_xlnm.Print_Area" localSheetId="6">'Février'!$A$1:$O$53</definedName>
    <definedName name="_xlnm.Print_Area" localSheetId="7">'Mars'!$A$1:$L$53</definedName>
    <definedName name="_xlnm.Print_Area" localSheetId="8">'Avril'!$A$1:$L$53</definedName>
    <definedName name="_xlnm.Print_Area" localSheetId="9">'Mai'!$A$1:$O$54</definedName>
    <definedName name="_xlnm.Print_Area" localSheetId="10">'Juin'!$A$1:$L$53</definedName>
    <definedName name="_xlnm.Print_Area" localSheetId="11">'Juillet'!$A$1:$L$52</definedName>
    <definedName name="_xlnm.Print_Area" localSheetId="12">'Aout'!$A$1:$L$51</definedName>
    <definedName name="_xlnm.Print_Area" localSheetId="13">'Septembre'!$A$1:$L$51</definedName>
    <definedName name="_xlnm.Print_Area" localSheetId="14">'Octobre'!$P$1:$X$58</definedName>
    <definedName name="_xlnm.Print_Area" localSheetId="15">'Novembre'!$A$1:$L$49</definedName>
    <definedName name="_xlnm.Print_Area" localSheetId="16">'Décembre'!$A$1:$L$49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482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175" fontId="20" fillId="7" borderId="66" applyAlignment="1" pivotButton="0" quotePrefix="0" xfId="47">
      <alignment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2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4" borderId="2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17" borderId="6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25" applyAlignment="1" pivotButton="0" quotePrefix="0" xfId="1">
      <alignment horizontal="center"/>
    </xf>
    <xf numFmtId="0" fontId="0" fillId="0" borderId="2" pivotButton="0" quotePrefix="0" xfId="0"/>
    <xf numFmtId="0" fontId="0" fillId="0" borderId="19" pivotButton="0" quotePrefix="0" xfId="0"/>
    <xf numFmtId="164" fontId="4" fillId="3" borderId="25" applyAlignment="1" pivotButton="0" quotePrefix="0" xfId="1">
      <alignment horizontal="center"/>
    </xf>
    <xf numFmtId="0" fontId="4" fillId="4" borderId="25" applyAlignment="1" pivotButton="0" quotePrefix="0" xfId="0">
      <alignment horizontal="center"/>
    </xf>
    <xf numFmtId="0" fontId="2" fillId="17" borderId="3" applyAlignment="1" pivotButton="0" quotePrefix="0" xfId="0">
      <alignment horizontal="center"/>
    </xf>
    <xf numFmtId="0" fontId="0" fillId="0" borderId="43" pivotButton="0" quotePrefix="0" xfId="0"/>
    <xf numFmtId="0" fontId="0" fillId="0" borderId="4" pivotButton="0" quotePrefix="0" xfId="0"/>
    <xf numFmtId="164" fontId="0" fillId="3" borderId="9" pivotButton="0" quotePrefix="0" xfId="1"/>
    <xf numFmtId="164" fontId="2" fillId="9" borderId="0" pivotButton="0" quotePrefix="0" xfId="1"/>
    <xf numFmtId="164" fontId="2" fillId="5" borderId="0" applyAlignment="1" pivotButton="0" quotePrefix="0" xfId="1">
      <alignment horizontal="center"/>
    </xf>
    <xf numFmtId="164" fontId="2" fillId="8" borderId="44" pivotButton="0" quotePrefix="0" xfId="1"/>
    <xf numFmtId="164" fontId="2" fillId="8" borderId="0" pivotButton="0" quotePrefix="0" xfId="1"/>
    <xf numFmtId="164" fontId="0" fillId="3" borderId="33" pivotButton="0" quotePrefix="0" xfId="1"/>
    <xf numFmtId="164" fontId="0" fillId="3" borderId="6" pivotButton="0" quotePrefix="0" xfId="1"/>
    <xf numFmtId="164" fontId="2" fillId="5" borderId="6" pivotButton="0" quotePrefix="0" xfId="0"/>
    <xf numFmtId="164" fontId="2" fillId="9" borderId="6" pivotButton="0" quotePrefix="0" xfId="1"/>
    <xf numFmtId="164" fontId="0" fillId="0" borderId="6" pivotButton="0" quotePrefix="0" xfId="1"/>
    <xf numFmtId="164" fontId="2" fillId="5" borderId="6" pivotButton="0" quotePrefix="0" xfId="1"/>
    <xf numFmtId="164" fontId="2" fillId="8" borderId="34" pivotButton="0" quotePrefix="0" xfId="1"/>
    <xf numFmtId="164" fontId="2" fillId="0" borderId="36" pivotButton="0" quotePrefix="0" xfId="0"/>
    <xf numFmtId="164" fontId="2" fillId="5" borderId="33" pivotButton="0" quotePrefix="0" xfId="0"/>
    <xf numFmtId="164" fontId="20" fillId="0" borderId="6" pivotButton="0" quotePrefix="0" xfId="1"/>
    <xf numFmtId="170" fontId="0" fillId="0" borderId="6" pivotButton="0" quotePrefix="0" xfId="1"/>
    <xf numFmtId="164" fontId="25" fillId="5" borderId="33" pivotButton="0" quotePrefix="0" xfId="0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2" fillId="5" borderId="10" pivotButton="0" quotePrefix="0" xfId="0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164" fontId="5" fillId="5" borderId="19" pivotButton="0" quotePrefix="0" xfId="1"/>
    <xf numFmtId="164" fontId="7" fillId="5" borderId="0" pivotButton="0" quotePrefix="0" xfId="0"/>
    <xf numFmtId="164" fontId="7" fillId="5" borderId="9" pivotButton="0" quotePrefix="0" xfId="0"/>
    <xf numFmtId="164" fontId="7" fillId="5" borderId="6" pivotButton="0" quotePrefix="0" xfId="1"/>
    <xf numFmtId="164" fontId="5" fillId="5" borderId="0" pivotButton="0" quotePrefix="0" xfId="0"/>
    <xf numFmtId="164" fontId="7" fillId="5" borderId="10" pivotButton="0" quotePrefix="0" xfId="1"/>
    <xf numFmtId="164" fontId="0" fillId="7" borderId="68" pivotButton="0" quotePrefix="0" xfId="1"/>
    <xf numFmtId="164" fontId="0" fillId="7" borderId="68" pivotButton="0" quotePrefix="0" xfId="0"/>
    <xf numFmtId="164" fontId="0" fillId="7" borderId="67" pivotButton="0" quotePrefix="0" xfId="1"/>
    <xf numFmtId="164" fontId="0" fillId="7" borderId="43" pivotButton="0" quotePrefix="0" xfId="1"/>
    <xf numFmtId="164" fontId="19" fillId="7" borderId="43" pivotButton="0" quotePrefix="0" xfId="1"/>
    <xf numFmtId="164" fontId="5" fillId="7" borderId="3" pivotButton="0" quotePrefix="0" xfId="1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5" fontId="8" fillId="0" borderId="2" pivotButton="0" quotePrefix="0" xfId="2"/>
    <xf numFmtId="165" fontId="8" fillId="0" borderId="25" pivotButton="0" quotePrefix="0" xfId="2"/>
    <xf numFmtId="164" fontId="7" fillId="0" borderId="64" applyAlignment="1" pivotButton="0" quotePrefix="0" xfId="2">
      <alignment horizontal="left"/>
    </xf>
    <xf numFmtId="164" fontId="0" fillId="0" borderId="28" pivotButton="0" quotePrefix="0" xfId="1"/>
    <xf numFmtId="164" fontId="20" fillId="0" borderId="29" pivotButton="0" quotePrefix="0" xfId="1"/>
    <xf numFmtId="164" fontId="9" fillId="7" borderId="7" pivotButton="0" quotePrefix="0" xfId="1"/>
    <xf numFmtId="164" fontId="9" fillId="7" borderId="2" pivotButton="0" quotePrefix="0" xfId="1"/>
    <xf numFmtId="168" fontId="6" fillId="5" borderId="25" pivotButton="0" quotePrefix="0" xfId="1"/>
    <xf numFmtId="164" fontId="7" fillId="0" borderId="34" applyAlignment="1" pivotButton="0" quotePrefix="0" xfId="1">
      <alignment horizontal="left"/>
    </xf>
    <xf numFmtId="164" fontId="0" fillId="0" borderId="33" pivotButton="0" quotePrefix="0" xfId="1"/>
    <xf numFmtId="164" fontId="19" fillId="0" borderId="50" pivotButton="0" quotePrefix="0" xfId="1"/>
    <xf numFmtId="164" fontId="0" fillId="0" borderId="0" pivotButton="0" quotePrefix="0" xfId="0"/>
    <xf numFmtId="164" fontId="6" fillId="0" borderId="0" applyAlignment="1" pivotButton="0" quotePrefix="0" xfId="1">
      <alignment horizontal="center"/>
    </xf>
    <xf numFmtId="164" fontId="7" fillId="0" borderId="15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17" pivotButton="0" quotePrefix="0" xfId="1"/>
    <xf numFmtId="164" fontId="27" fillId="0" borderId="7" pivotButton="0" quotePrefix="0" xfId="1"/>
    <xf numFmtId="164" fontId="9" fillId="0" borderId="52" pivotButton="0" quotePrefix="0" xfId="1"/>
    <xf numFmtId="0" fontId="2" fillId="17" borderId="25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0" fontId="0" fillId="0" borderId="21" pivotButton="0" quotePrefix="0" xfId="0"/>
    <xf numFmtId="164" fontId="0" fillId="0" borderId="3" applyAlignment="1" pivotButton="0" quotePrefix="0" xfId="1">
      <alignment horizontal="center"/>
    </xf>
    <xf numFmtId="0" fontId="0" fillId="0" borderId="25" applyAlignment="1" pivotButton="0" quotePrefix="0" xfId="0">
      <alignment horizontal="center"/>
    </xf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9" borderId="16" pivotButton="0" quotePrefix="0" xfId="1"/>
    <xf numFmtId="164" fontId="0" fillId="0" borderId="7" pivotButton="0" quotePrefix="0" xfId="1"/>
    <xf numFmtId="164" fontId="0" fillId="9" borderId="26" pivotButton="0" quotePrefix="0" xfId="1"/>
    <xf numFmtId="164" fontId="0" fillId="9" borderId="6" pivotButton="0" quotePrefix="0" xfId="1"/>
    <xf numFmtId="164" fontId="0" fillId="3" borderId="34" pivotButton="0" quotePrefix="0" xfId="1"/>
    <xf numFmtId="164" fontId="0" fillId="9" borderId="28" pivotButton="0" quotePrefix="0" xfId="1"/>
    <xf numFmtId="164" fontId="0" fillId="0" borderId="29" pivotButton="0" quotePrefix="0" xfId="1"/>
    <xf numFmtId="164" fontId="0" fillId="12" borderId="29" pivotButton="0" quotePrefix="0" xfId="1"/>
    <xf numFmtId="164" fontId="0" fillId="9" borderId="31" pivotButton="0" quotePrefix="0" xfId="1"/>
    <xf numFmtId="166" fontId="0" fillId="9" borderId="6" pivotButton="0" quotePrefix="0" xfId="1"/>
    <xf numFmtId="164" fontId="0" fillId="9" borderId="33" pivotButton="0" quotePrefix="0" xfId="1"/>
    <xf numFmtId="164" fontId="0" fillId="9" borderId="36" pivotButton="0" quotePrefix="0" xfId="1"/>
    <xf numFmtId="164" fontId="19" fillId="3" borderId="34" pivotButton="0" quotePrefix="0" xfId="1"/>
    <xf numFmtId="164" fontId="19" fillId="9" borderId="33" pivotButton="0" quotePrefix="0" xfId="1"/>
    <xf numFmtId="164" fontId="19" fillId="0" borderId="6" pivotButton="0" quotePrefix="0" xfId="1"/>
    <xf numFmtId="164" fontId="19" fillId="12" borderId="29" pivotButton="0" quotePrefix="0" xfId="1"/>
    <xf numFmtId="164" fontId="20" fillId="3" borderId="34" pivotButton="0" quotePrefix="0" xfId="1"/>
    <xf numFmtId="164" fontId="0" fillId="9" borderId="14" pivotButton="0" quotePrefix="0" xfId="1"/>
    <xf numFmtId="164" fontId="0" fillId="9" borderId="38" pivotButton="0" quotePrefix="0" xfId="1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8" fillId="9" borderId="19" pivotButton="0" quotePrefix="0" xfId="1"/>
    <xf numFmtId="164" fontId="8" fillId="9" borderId="25" pivotButton="0" quotePrefix="0" xfId="1"/>
    <xf numFmtId="164" fontId="0" fillId="0" borderId="64" pivotButton="0" quotePrefix="0" xfId="1"/>
    <xf numFmtId="164" fontId="0" fillId="0" borderId="34" pivotButton="0" quotePrefix="0" xfId="1"/>
    <xf numFmtId="164" fontId="0" fillId="0" borderId="56" pivotButton="0" quotePrefix="0" xfId="1"/>
    <xf numFmtId="164" fontId="5" fillId="0" borderId="25" pivotButton="0" quotePrefix="0" xfId="0"/>
    <xf numFmtId="3" fontId="18" fillId="6" borderId="107" applyAlignment="1" pivotButton="0" quotePrefix="1" xfId="0">
      <alignment horizontal="center" wrapText="1"/>
    </xf>
    <xf numFmtId="0" fontId="0" fillId="0" borderId="73" pivotButton="0" quotePrefix="0" xfId="0"/>
    <xf numFmtId="0" fontId="0" fillId="0" borderId="74" pivotButton="0" quotePrefix="0" xfId="0"/>
    <xf numFmtId="164" fontId="29" fillId="35" borderId="75" pivotButton="0" quotePrefix="1" xfId="1"/>
    <xf numFmtId="164" fontId="29" fillId="35" borderId="70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0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0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0" fontId="9" fillId="0" borderId="25" applyAlignment="1" pivotButton="0" quotePrefix="0" xfId="0">
      <alignment horizontal="center" vertical="center"/>
    </xf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164" fontId="2" fillId="5" borderId="27" pivotButton="0" quotePrefix="0" xfId="0"/>
    <xf numFmtId="164" fontId="0" fillId="17" borderId="32" pivotButton="0" quotePrefix="0" xfId="1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2" fillId="5" borderId="32" pivotButton="0" quotePrefix="0" xfId="0"/>
    <xf numFmtId="164" fontId="5" fillId="17" borderId="32" pivotButton="0" quotePrefix="0" xfId="0"/>
    <xf numFmtId="164" fontId="5" fillId="5" borderId="39" pivotButton="0" quotePrefix="0" xfId="0"/>
    <xf numFmtId="165" fontId="0" fillId="0" borderId="0" pivotButton="0" quotePrefix="0" xfId="2"/>
    <xf numFmtId="0" fontId="2" fillId="0" borderId="1" applyAlignment="1" pivotButton="0" quotePrefix="0" xfId="0">
      <alignment horizontal="center" vertic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20" fillId="26" borderId="39" applyAlignment="1" pivotButton="0" quotePrefix="0" xfId="1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7" borderId="39" applyAlignment="1" pivotButton="0" quotePrefix="0" xfId="1">
      <alignment horizontal="center" vertical="center"/>
    </xf>
    <xf numFmtId="164" fontId="1" fillId="22" borderId="62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164" fontId="7" fillId="5" borderId="39" applyAlignment="1" pivotButton="0" quotePrefix="0" xfId="0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5" fillId="17" borderId="5" pivotButton="0" quotePrefix="0" xfId="0"/>
    <xf numFmtId="164" fontId="5" fillId="7" borderId="5" pivotButton="0" quotePrefix="0" xfId="0"/>
    <xf numFmtId="164" fontId="5" fillId="20" borderId="5" pivotButton="0" quotePrefix="0" xfId="0"/>
    <xf numFmtId="164" fontId="5" fillId="27" borderId="5" applyAlignment="1" pivotButton="0" quotePrefix="0" xfId="0">
      <alignment horizontal="center" vertical="center"/>
    </xf>
    <xf numFmtId="164" fontId="5" fillId="22" borderId="42" pivotButton="0" quotePrefix="0" xfId="0"/>
    <xf numFmtId="164" fontId="5" fillId="28" borderId="69" pivotButton="0" quotePrefix="0" xfId="0"/>
    <xf numFmtId="164" fontId="5" fillId="29" borderId="69" pivotButton="0" quotePrefix="0" xfId="0"/>
    <xf numFmtId="164" fontId="5" fillId="26" borderId="69" pivotButton="0" quotePrefix="0" xfId="0"/>
    <xf numFmtId="164" fontId="5" fillId="5" borderId="69" pivotButton="0" quotePrefix="0" xfId="0"/>
    <xf numFmtId="164" fontId="2" fillId="71" borderId="25" applyAlignment="1" pivotButton="0" quotePrefix="0" xfId="1">
      <alignment horizontal="center" vertical="center"/>
    </xf>
    <xf numFmtId="0" fontId="4" fillId="4" borderId="3" applyAlignment="1" pivotButton="0" quotePrefix="0" xfId="0">
      <alignment horizontal="center"/>
    </xf>
    <xf numFmtId="0" fontId="2" fillId="30" borderId="25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20" borderId="25" applyAlignment="1" pivotButton="0" quotePrefix="0" xfId="0">
      <alignment horizontal="center"/>
    </xf>
    <xf numFmtId="0" fontId="2" fillId="32" borderId="25" applyAlignment="1" pivotButton="0" quotePrefix="0" xfId="0">
      <alignment horizontal="center"/>
    </xf>
    <xf numFmtId="0" fontId="2" fillId="69" borderId="25" applyAlignment="1" pivotButton="0" quotePrefix="0" xfId="0">
      <alignment horizontal="center"/>
    </xf>
    <xf numFmtId="164" fontId="0" fillId="5" borderId="1" applyAlignment="1" pivotButton="0" quotePrefix="0" xfId="1">
      <alignment horizontal="center"/>
    </xf>
    <xf numFmtId="164" fontId="2" fillId="9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0" fontId="0" fillId="0" borderId="69" pivotButton="0" quotePrefix="0" xfId="0"/>
    <xf numFmtId="164" fontId="2" fillId="4" borderId="5" pivotButton="0" quotePrefix="0" xfId="1"/>
    <xf numFmtId="164" fontId="2" fillId="4" borderId="0" pivotButton="0" quotePrefix="0" xfId="1"/>
    <xf numFmtId="164" fontId="2" fillId="26" borderId="0" pivotButton="0" quotePrefix="0" xfId="1"/>
    <xf numFmtId="164" fontId="2" fillId="30" borderId="0" pivotButton="0" quotePrefix="0" xfId="1"/>
    <xf numFmtId="164" fontId="2" fillId="7" borderId="9" pivotButton="0" quotePrefix="0" xfId="1"/>
    <xf numFmtId="164" fontId="2" fillId="7" borderId="0" pivotButton="0" quotePrefix="0" xfId="1"/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164" fontId="2" fillId="68" borderId="9" pivotButton="0" quotePrefix="0" xfId="1"/>
    <xf numFmtId="164" fontId="2" fillId="68" borderId="0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5" borderId="49" pivotButton="0" quotePrefix="0" xfId="1"/>
    <xf numFmtId="164" fontId="2" fillId="71" borderId="30" pivotButton="0" quotePrefix="0" xfId="1"/>
    <xf numFmtId="164" fontId="0" fillId="4" borderId="36" pivotButton="0" quotePrefix="0" xfId="0"/>
    <xf numFmtId="164" fontId="0" fillId="5" borderId="34" pivotButton="0" quotePrefix="0" xfId="0"/>
    <xf numFmtId="164" fontId="0" fillId="26" borderId="35" pivotButton="0" quotePrefix="0" xfId="0"/>
    <xf numFmtId="164" fontId="0" fillId="30" borderId="35" pivotButton="0" quotePrefix="0" xfId="0"/>
    <xf numFmtId="164" fontId="0" fillId="7" borderId="58" pivotButton="0" quotePrefix="0" xfId="0"/>
    <xf numFmtId="164" fontId="0" fillId="7" borderId="35" pivotButton="0" quotePrefix="0" xfId="0"/>
    <xf numFmtId="164" fontId="0" fillId="20" borderId="58" pivotButton="0" quotePrefix="0" xfId="0"/>
    <xf numFmtId="164" fontId="0" fillId="20" borderId="35" pivotButton="0" quotePrefix="0" xfId="0"/>
    <xf numFmtId="164" fontId="0" fillId="32" borderId="58" pivotButton="0" quotePrefix="0" xfId="0"/>
    <xf numFmtId="164" fontId="0" fillId="68" borderId="58" pivotButton="0" quotePrefix="0" xfId="0"/>
    <xf numFmtId="164" fontId="0" fillId="68" borderId="35" pivotButton="0" quotePrefix="0" xfId="0"/>
    <xf numFmtId="164" fontId="0" fillId="5" borderId="33" pivotButton="0" quotePrefix="0" xfId="1"/>
    <xf numFmtId="164" fontId="0" fillId="5" borderId="36" pivotButton="0" quotePrefix="0" xfId="1"/>
    <xf numFmtId="164" fontId="2" fillId="15" borderId="32" pivotButton="0" quotePrefix="0" xfId="1"/>
    <xf numFmtId="164" fontId="0" fillId="9" borderId="46" pivotButton="0" quotePrefix="0" xfId="1"/>
    <xf numFmtId="164" fontId="11" fillId="0" borderId="6" pivotButton="0" quotePrefix="0" xfId="1"/>
    <xf numFmtId="164" fontId="2" fillId="14" borderId="32" pivotButton="0" quotePrefix="0" xfId="1"/>
    <xf numFmtId="164" fontId="7" fillId="5" borderId="33" pivotButton="0" quotePrefix="0" xfId="0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164" fontId="7" fillId="4" borderId="45" pivotButton="0" quotePrefix="0" xfId="0"/>
    <xf numFmtId="164" fontId="7" fillId="5" borderId="42" pivotButton="0" quotePrefix="0" xfId="0"/>
    <xf numFmtId="164" fontId="7" fillId="26" borderId="0" pivotButton="0" quotePrefix="0" xfId="0"/>
    <xf numFmtId="164" fontId="7" fillId="30" borderId="0" pivotButton="0" quotePrefix="0" xfId="0"/>
    <xf numFmtId="164" fontId="7" fillId="7" borderId="9" pivotButton="0" quotePrefix="0" xfId="0"/>
    <xf numFmtId="164" fontId="7" fillId="7" borderId="0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7" fillId="68" borderId="9" pivotButton="0" quotePrefix="0" xfId="0"/>
    <xf numFmtId="164" fontId="7" fillId="68" borderId="0" pivotButton="0" quotePrefix="0" xfId="0"/>
    <xf numFmtId="164" fontId="20" fillId="0" borderId="10" pivotButton="0" quotePrefix="0" xfId="1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4" fontId="20" fillId="5" borderId="6" pivotButton="0" quotePrefix="0" xfId="1"/>
    <xf numFmtId="164" fontId="7" fillId="5" borderId="12" pivotButton="0" quotePrefix="0" xfId="1"/>
    <xf numFmtId="164" fontId="20" fillId="0" borderId="12" pivotButton="0" quotePrefix="0" xfId="1"/>
    <xf numFmtId="164" fontId="8" fillId="16" borderId="23" pivotButton="0" quotePrefix="0" xfId="1"/>
    <xf numFmtId="164" fontId="8" fillId="16" borderId="8" pivotButton="0" quotePrefix="0" xfId="0"/>
    <xf numFmtId="165" fontId="8" fillId="0" borderId="8" pivotButton="0" quotePrefix="0" xfId="2"/>
    <xf numFmtId="165" fontId="8" fillId="16" borderId="8" pivotButton="0" quotePrefix="0" xfId="2"/>
    <xf numFmtId="165" fontId="8" fillId="16" borderId="24" pivotButton="0" quotePrefix="0" xfId="2"/>
    <xf numFmtId="165" fontId="8" fillId="0" borderId="22" pivotButton="0" quotePrefix="0" xfId="2"/>
    <xf numFmtId="165" fontId="8" fillId="0" borderId="0" pivotButton="0" quotePrefix="0" xfId="2"/>
    <xf numFmtId="164" fontId="7" fillId="33" borderId="6" applyAlignment="1" pivotButton="0" quotePrefix="0" xfId="2">
      <alignment horizontal="left"/>
    </xf>
    <xf numFmtId="164" fontId="7" fillId="0" borderId="30" applyAlignment="1" pivotButton="0" quotePrefix="0" xfId="2">
      <alignment horizontal="left"/>
    </xf>
    <xf numFmtId="164" fontId="2" fillId="5" borderId="28" pivotButton="0" quotePrefix="0" xfId="1"/>
    <xf numFmtId="164" fontId="7" fillId="0" borderId="57" applyAlignment="1" pivotButton="0" quotePrefix="0" xfId="2">
      <alignment horizontal="left"/>
    </xf>
    <xf numFmtId="164" fontId="9" fillId="7" borderId="16" pivotButton="0" quotePrefix="0" xfId="1"/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171" fontId="8" fillId="5" borderId="0" pivotButton="0" quotePrefix="0" xfId="1"/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2" fillId="5" borderId="33" pivotButton="0" quotePrefix="0" xfId="1"/>
    <xf numFmtId="164" fontId="7" fillId="0" borderId="58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2" fillId="5" borderId="81" pivotButton="0" quotePrefix="0" xfId="1"/>
    <xf numFmtId="164" fontId="20" fillId="0" borderId="54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64" fontId="9" fillId="0" borderId="45" pivotButton="0" quotePrefix="0" xfId="1"/>
    <xf numFmtId="164" fontId="9" fillId="0" borderId="2" pivotButton="0" quotePrefix="0" xfId="1"/>
    <xf numFmtId="164" fontId="9" fillId="5" borderId="16" pivotButton="0" quotePrefix="0" xfId="1"/>
    <xf numFmtId="164" fontId="9" fillId="0" borderId="1" pivotButton="0" quotePrefix="0" xfId="1"/>
    <xf numFmtId="164" fontId="9" fillId="5" borderId="81" pivotButton="0" quotePrefix="0" xfId="1"/>
    <xf numFmtId="164" fontId="7" fillId="5" borderId="55" pivotButton="0" quotePrefix="0" xfId="1"/>
    <xf numFmtId="164" fontId="9" fillId="0" borderId="41" pivotButton="0" quotePrefix="0" xfId="1"/>
    <xf numFmtId="164" fontId="20" fillId="0" borderId="55" pivotButton="0" quotePrefix="0" xfId="1"/>
    <xf numFmtId="167" fontId="0" fillId="0" borderId="0" pivotButton="0" quotePrefix="0" xfId="0"/>
    <xf numFmtId="164" fontId="20" fillId="0" borderId="8" pivotButton="0" quotePrefix="0" xfId="1"/>
    <xf numFmtId="169" fontId="0" fillId="0" borderId="0" pivotButton="0" quotePrefix="0" xfId="1"/>
    <xf numFmtId="0" fontId="4" fillId="4" borderId="25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164" fontId="2" fillId="8" borderId="0" applyAlignment="1" pivotButton="0" quotePrefix="0" xfId="1">
      <alignment horizontal="center" vertical="center"/>
    </xf>
    <xf numFmtId="164" fontId="0" fillId="3" borderId="33" applyAlignment="1" pivotButton="0" quotePrefix="0" xfId="1">
      <alignment vertical="center"/>
    </xf>
    <xf numFmtId="164" fontId="0" fillId="0" borderId="36" pivotButton="0" quotePrefix="0" xfId="0"/>
    <xf numFmtId="164" fontId="0" fillId="3" borderId="14" applyAlignment="1" pivotButton="0" quotePrefix="0" xfId="1">
      <alignment vertical="center"/>
    </xf>
    <xf numFmtId="164" fontId="0" fillId="0" borderId="38" pivotButton="0" quotePrefix="0" xfId="0"/>
    <xf numFmtId="164" fontId="7" fillId="5" borderId="67" pivotButton="0" quotePrefix="0" xfId="1"/>
    <xf numFmtId="164" fontId="8" fillId="5" borderId="19" pivotButton="0" quotePrefix="0" xfId="1"/>
    <xf numFmtId="164" fontId="5" fillId="0" borderId="6" pivotButton="0" quotePrefix="0" xfId="0"/>
    <xf numFmtId="164" fontId="0" fillId="7" borderId="6" pivotButton="0" quotePrefix="0" xfId="1"/>
    <xf numFmtId="164" fontId="5" fillId="7" borderId="4" pivotButton="0" quotePrefix="0" xfId="1"/>
    <xf numFmtId="164" fontId="7" fillId="7" borderId="66" pivotButton="0" quotePrefix="0" xfId="0"/>
    <xf numFmtId="164" fontId="20" fillId="7" borderId="66" pivotButton="0" quotePrefix="0" xfId="0"/>
    <xf numFmtId="165" fontId="8" fillId="0" borderId="6" pivotButton="0" quotePrefix="0" xfId="2"/>
    <xf numFmtId="165" fontId="8" fillId="0" borderId="19" pivotButton="0" quotePrefix="0" xfId="2"/>
    <xf numFmtId="164" fontId="20" fillId="0" borderId="48" pivotButton="0" quotePrefix="0" xfId="1"/>
    <xf numFmtId="164" fontId="9" fillId="7" borderId="45" pivotButton="0" quotePrefix="0" xfId="1"/>
    <xf numFmtId="164" fontId="9" fillId="7" borderId="6" pivotButton="0" quotePrefix="0" xfId="1"/>
    <xf numFmtId="164" fontId="9" fillId="0" borderId="6" pivotButton="0" quotePrefix="0" xfId="1"/>
    <xf numFmtId="164" fontId="0" fillId="0" borderId="50" pivotButton="0" quotePrefix="0" xfId="1"/>
    <xf numFmtId="164" fontId="27" fillId="0" borderId="68" pivotButton="0" quotePrefix="0" xfId="1"/>
    <xf numFmtId="164" fontId="0" fillId="0" borderId="40" pivotButton="0" quotePrefix="0" xfId="1"/>
    <xf numFmtId="0" fontId="0" fillId="0" borderId="35" pivotButton="0" quotePrefix="0" xfId="0"/>
    <xf numFmtId="164" fontId="0" fillId="0" borderId="9" pivotButton="0" quotePrefix="0" xfId="1"/>
    <xf numFmtId="175" fontId="6" fillId="0" borderId="0" pivotButton="0" quotePrefix="0" xfId="47"/>
    <xf numFmtId="164" fontId="9" fillId="0" borderId="0" pivotButton="0" quotePrefix="0" xfId="1"/>
    <xf numFmtId="164" fontId="0" fillId="0" borderId="41" pivotButton="0" quotePrefix="0" xfId="1"/>
    <xf numFmtId="175" fontId="53" fillId="20" borderId="0" pivotButton="0" quotePrefix="0" xfId="0"/>
    <xf numFmtId="164" fontId="0" fillId="7" borderId="63" pivotButton="0" quotePrefix="0" xfId="0"/>
    <xf numFmtId="164" fontId="20" fillId="7" borderId="6" pivotButton="0" quotePrefix="0" xfId="1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175" fontId="0" fillId="0" borderId="0" pivotButton="0" quotePrefix="0" xfId="0"/>
    <xf numFmtId="164" fontId="20" fillId="7" borderId="65" pivotButton="0" quotePrefix="0" xfId="1"/>
    <xf numFmtId="164" fontId="0" fillId="0" borderId="43" pivotButton="0" quotePrefix="0" xfId="0"/>
    <xf numFmtId="165" fontId="0" fillId="0" borderId="4" pivotButton="0" quotePrefix="0" xfId="2"/>
    <xf numFmtId="165" fontId="0" fillId="0" borderId="44" pivotButton="0" quotePrefix="0" xfId="2"/>
    <xf numFmtId="164" fontId="0" fillId="0" borderId="45" pivotButton="0" quotePrefix="0" xfId="0"/>
    <xf numFmtId="165" fontId="0" fillId="0" borderId="42" pivotButton="0" quotePrefix="0" xfId="2"/>
    <xf numFmtId="164" fontId="0" fillId="0" borderId="0" applyAlignment="1" pivotButton="0" quotePrefix="0" xfId="1">
      <alignment vertical="center"/>
    </xf>
    <xf numFmtId="17" fontId="3" fillId="0" borderId="25" applyAlignment="1" pivotButton="0" quotePrefix="0" xfId="1">
      <alignment horizontal="center" vertical="center"/>
    </xf>
    <xf numFmtId="164" fontId="4" fillId="3" borderId="25" applyAlignment="1" pivotButton="0" quotePrefix="0" xfId="1">
      <alignment horizontal="center" vertical="center"/>
    </xf>
    <xf numFmtId="164" fontId="0" fillId="3" borderId="9" applyAlignment="1" pivotButton="0" quotePrefix="0" xfId="1">
      <alignment horizontal="center" vertical="center"/>
    </xf>
    <xf numFmtId="164" fontId="2" fillId="9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164" fontId="0" fillId="3" borderId="36" applyAlignment="1" pivotButton="0" quotePrefix="0" xfId="1">
      <alignment vertical="center"/>
    </xf>
    <xf numFmtId="164" fontId="2" fillId="5" borderId="32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46" applyAlignment="1" pivotButton="0" quotePrefix="0" xfId="1">
      <alignment vertical="center"/>
    </xf>
    <xf numFmtId="164" fontId="19" fillId="0" borderId="6" applyAlignment="1" pivotButton="0" quotePrefix="0" xfId="1">
      <alignment vertical="center"/>
    </xf>
    <xf numFmtId="164" fontId="24" fillId="0" borderId="6" applyAlignment="1" pivotButton="0" quotePrefix="0" xfId="1">
      <alignment vertical="center"/>
    </xf>
    <xf numFmtId="164" fontId="2" fillId="5" borderId="20" applyAlignment="1" pivotButton="0" quotePrefix="0" xfId="0">
      <alignment vertical="center"/>
    </xf>
    <xf numFmtId="164" fontId="2" fillId="9" borderId="47" applyAlignment="1" pivotButton="0" quotePrefix="0" xfId="1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164" fontId="0" fillId="5" borderId="1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5" fillId="5" borderId="25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10" applyAlignment="1" pivotButton="0" quotePrefix="0" xfId="1">
      <alignment vertical="center"/>
    </xf>
    <xf numFmtId="164" fontId="0" fillId="7" borderId="68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0" fillId="7" borderId="61" applyAlignment="1" pivotButton="0" quotePrefix="0" xfId="1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8" fillId="0" borderId="7" applyAlignment="1" pivotButton="0" quotePrefix="0" xfId="1">
      <alignment vertical="center"/>
    </xf>
    <xf numFmtId="164" fontId="8" fillId="0" borderId="26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5" fontId="8" fillId="0" borderId="52" applyAlignment="1" pivotButton="0" quotePrefix="0" xfId="2">
      <alignment vertical="center"/>
    </xf>
    <xf numFmtId="165" fontId="8" fillId="0" borderId="7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164" fontId="24" fillId="0" borderId="29" applyAlignment="1" pivotButton="0" quotePrefix="0" xfId="1">
      <alignment vertical="center"/>
    </xf>
    <xf numFmtId="164" fontId="9" fillId="7" borderId="7" applyAlignment="1" pivotButton="0" quotePrefix="0" xfId="1">
      <alignment vertical="center"/>
    </xf>
    <xf numFmtId="164" fontId="9" fillId="5" borderId="25" applyAlignment="1" pivotButton="0" quotePrefix="0" xfId="1">
      <alignment vertical="center"/>
    </xf>
    <xf numFmtId="164" fontId="9" fillId="7" borderId="52" pivotButton="0" quotePrefix="0" xfId="1"/>
    <xf numFmtId="168" fontId="6" fillId="5" borderId="25" applyAlignment="1" pivotButton="0" quotePrefix="0" xfId="1">
      <alignment vertical="center"/>
    </xf>
    <xf numFmtId="164" fontId="7" fillId="0" borderId="36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19" fillId="0" borderId="5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164" fontId="7" fillId="0" borderId="38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0" fillId="0" borderId="40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75" fontId="20" fillId="7" borderId="66" applyAlignment="1" pivotButton="0" quotePrefix="0" xfId="47">
      <alignment vertical="center"/>
    </xf>
    <xf numFmtId="164" fontId="23" fillId="0" borderId="7" applyAlignment="1" pivotButton="0" quotePrefix="0" xfId="1">
      <alignment vertical="center"/>
    </xf>
    <xf numFmtId="164" fontId="9" fillId="0" borderId="52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75" fontId="6" fillId="0" borderId="0" applyAlignment="1" pivotButton="0" quotePrefix="0" xfId="47">
      <alignment vertical="center"/>
    </xf>
    <xf numFmtId="175" fontId="0" fillId="0" borderId="0" applyAlignment="1" pivotButton="0" quotePrefix="0" xfId="0">
      <alignment vertical="center"/>
    </xf>
    <xf numFmtId="164" fontId="0" fillId="3" borderId="9" applyAlignment="1" pivotButton="0" quotePrefix="0" xfId="1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70" borderId="6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164" fontId="7" fillId="5" borderId="0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8" fillId="0" borderId="7" applyAlignment="1" pivotButton="0" quotePrefix="0" xfId="0">
      <alignment vertical="center"/>
    </xf>
    <xf numFmtId="165" fontId="8" fillId="0" borderId="26" applyAlignment="1" pivotButton="0" quotePrefix="0" xfId="2">
      <alignment vertical="center"/>
    </xf>
    <xf numFmtId="164" fontId="2" fillId="5" borderId="28" pivotButton="0" quotePrefix="0" xfId="0"/>
    <xf numFmtId="164" fontId="4" fillId="7" borderId="7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8" fontId="5" fillId="5" borderId="25" applyAlignment="1" pivotButton="0" quotePrefix="0" xfId="1">
      <alignment vertical="center"/>
    </xf>
    <xf numFmtId="164" fontId="19" fillId="0" borderId="29" applyAlignment="1" pivotButton="0" quotePrefix="0" xfId="1">
      <alignment vertical="center"/>
    </xf>
    <xf numFmtId="164" fontId="6" fillId="0" borderId="7" applyAlignment="1" pivotButton="0" quotePrefix="0" xfId="1">
      <alignment vertical="center"/>
    </xf>
    <xf numFmtId="164" fontId="20" fillId="7" borderId="66" pivotButton="0" quotePrefix="0" xfId="1"/>
    <xf numFmtId="164" fontId="20" fillId="7" borderId="65" pivotButton="0" quotePrefix="0" xfId="0"/>
    <xf numFmtId="0" fontId="2" fillId="17" borderId="25" applyAlignment="1" pivotButton="0" quotePrefix="0" xfId="0">
      <alignment horizontal="center" vertical="center"/>
    </xf>
    <xf numFmtId="164" fontId="50" fillId="5" borderId="7" pivotButton="0" quotePrefix="0" xfId="1"/>
    <xf numFmtId="164" fontId="49" fillId="25" borderId="68" pivotButton="0" quotePrefix="0" xfId="1"/>
    <xf numFmtId="164" fontId="51" fillId="25" borderId="7" pivotButton="0" quotePrefix="0" xfId="1"/>
    <xf numFmtId="164" fontId="2" fillId="7" borderId="68" pivotButton="0" quotePrefix="0" xfId="0"/>
    <xf numFmtId="164" fontId="15" fillId="9" borderId="7" pivotButton="0" quotePrefix="0" xfId="1"/>
    <xf numFmtId="164" fontId="19" fillId="0" borderId="0" pivotButton="0" quotePrefix="0" xfId="1"/>
    <xf numFmtId="164" fontId="1" fillId="9" borderId="6" pivotButton="0" quotePrefix="0" xfId="1"/>
    <xf numFmtId="164" fontId="2" fillId="0" borderId="6" pivotButton="0" quotePrefix="0" xfId="1"/>
    <xf numFmtId="164" fontId="0" fillId="0" borderId="68" pivotButton="0" quotePrefix="0" xfId="1"/>
    <xf numFmtId="164" fontId="0" fillId="7" borderId="25" pivotButton="0" quotePrefix="0" xfId="1"/>
    <xf numFmtId="164" fontId="2" fillId="7" borderId="63" pivotButton="0" quotePrefix="0" xfId="0"/>
    <xf numFmtId="164" fontId="15" fillId="0" borderId="7" pivotButton="0" quotePrefix="0" xfId="1"/>
    <xf numFmtId="164" fontId="47" fillId="0" borderId="68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25" pivotButton="0" quotePrefix="0" xfId="1"/>
    <xf numFmtId="164" fontId="9" fillId="0" borderId="19" pivotButton="0" quotePrefix="0" xfId="1"/>
    <xf numFmtId="164" fontId="0" fillId="0" borderId="45" pivotButton="0" quotePrefix="0" xfId="1"/>
    <xf numFmtId="175" fontId="52" fillId="0" borderId="0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'Récap Global'!$C$3</f>
              <strCache>
                <ptCount val="1"/>
                <pt idx="0">
                  <v>Base O&amp;G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Global'!$C$4:$C$6</f>
              <numCache>
                <formatCode>_-* #\ ##0\ _€_-;\-* #\ ##0\ _€_-;_-* "-"??\ _€_-;_-@_-</formatCode>
                <ptCount val="3"/>
                <pt idx="0">
                  <v>837612329</v>
                </pt>
                <pt idx="1">
                  <v>774912638</v>
                </pt>
                <pt idx="2">
                  <v>872895137</v>
                </pt>
              </numCache>
            </numRef>
          </val>
          <smooth val="0"/>
        </ser>
        <ser>
          <idx val="1"/>
          <order val="1"/>
          <tx>
            <strRef>
              <f>'Récap Global'!$D$3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Global'!$D$4:$D$6</f>
              <numCache>
                <formatCode>_-* #\ ##0\ _€_-;\-* #\ ##0\ _€_-;_-* "-"??\ _€_-;_-@_-</formatCode>
                <ptCount val="3"/>
                <pt idx="0">
                  <v>2801201</v>
                </pt>
                <pt idx="1">
                  <v>10340870</v>
                </pt>
                <pt idx="2">
                  <v>193500</v>
                </pt>
              </numCache>
            </numRef>
          </val>
          <smooth val="0"/>
        </ser>
        <ser>
          <idx val="2"/>
          <order val="2"/>
          <tx>
            <strRef>
              <f>'Récap Global'!$E$3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Global'!$E$4:$E$6</f>
              <numCache>
                <formatCode>_-* #\ ##0\ _€_-;\-* #\ ##0\ _€_-;_-* "-"??\ _€_-;_-@_-</formatCode>
                <ptCount val="3"/>
                <pt idx="0">
                  <v>0</v>
                </pt>
                <pt idx="1">
                  <v>1325000</v>
                </pt>
                <pt idx="2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'Récap Global'!$F$3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Global'!$F$4:$F$6</f>
              <numCache>
                <formatCode>_-* #\ ##0\ _€_-;\-* #\ ##0\ _€_-;_-* "-"??\ _€_-;_-@_-</formatCode>
                <ptCount val="3"/>
                <pt idx="0">
                  <v>41566985</v>
                </pt>
                <pt idx="1">
                  <v>28985860</v>
                </pt>
                <pt idx="2">
                  <v>7136253</v>
                </pt>
              </numCache>
            </numRef>
          </val>
          <smooth val="0"/>
        </ser>
        <ser>
          <idx val="4"/>
          <order val="4"/>
          <tx>
            <strRef>
              <f>'Récap Global'!$G$3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Global'!$G$4:$G$6</f>
              <numCache>
                <formatCode>_-* #\ ##0\ _€_-;\-* #\ ##0\ _€_-;_-* "-"??\ _€_-;_-@_-</formatCode>
                <ptCount val="3"/>
                <pt idx="0">
                  <v>806526</v>
                </pt>
                <pt idx="1">
                  <v>0</v>
                </pt>
                <pt idx="2">
                  <v>4500000</v>
                </pt>
              </numCache>
            </numRef>
          </val>
          <smooth val="0"/>
        </ser>
        <ser>
          <idx val="5"/>
          <order val="5"/>
          <tx>
            <strRef>
              <f>'Récap Global'!$H$3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Global'!$H$4:$H$6</f>
              <numCache>
                <formatCode>_-* #\ ##0\ _€_-;\-* #\ ##0\ _€_-;_-* "-"??\ _€_-;_-@_-</formatCode>
                <ptCount val="3"/>
                <pt idx="0">
                  <v>9874764</v>
                </pt>
                <pt idx="1">
                  <v>5390000</v>
                </pt>
                <pt idx="2">
                  <v>12480712</v>
                </pt>
              </numCache>
            </numRef>
          </val>
          <smooth val="0"/>
        </ser>
        <ser>
          <idx val="6"/>
          <order val="6"/>
          <tx>
            <strRef>
              <f>'Récap Global'!$I$3</f>
              <strCache>
                <ptCount val="1"/>
                <pt idx="0">
                  <v>Meet &amp; Greet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Global'!$I$4:$I$6</f>
              <numCache>
                <formatCode>_-* #\ ##0\ _€_-;\-* #\ ##0\ _€_-;_-* "-"??\ _€_-;_-@_-</formatCode>
                <ptCount val="3"/>
                <pt idx="0">
                  <v>35576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'Récap Global'!$J$3</f>
              <strCache>
                <ptCount val="1"/>
                <pt idx="0">
                  <v>SIRT / LEVAGE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Global'!$J$4:$J$6</f>
              <numCache>
                <formatCode>_-* #\ ##0\ _€_-;\-* #\ ##0\ _€_-;_-* "-"??\ _€_-;_-@_-</formatCode>
                <ptCount val="3"/>
                <pt idx="0">
                  <v>107400000</v>
                </pt>
                <pt idx="1">
                  <v>118020000</v>
                </pt>
                <pt idx="2">
                  <v>161400000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781120"/>
        <axId val="149791104"/>
      </lineChart>
      <catAx>
        <axId val="1497811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791104"/>
        <crosses val="autoZero"/>
        <auto val="1"/>
        <lblAlgn val="ctr"/>
        <lblOffset val="100"/>
        <noMultiLvlLbl val="0"/>
      </catAx>
      <valAx>
        <axId val="14979110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78112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Global'!$C$48:$J$48</f>
              <numCache>
                <formatCode>0.00%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943126665931922"/>
          <y val="0.03614101459973753"/>
          <w val="0.5079546335868204"/>
          <h val="0.8854002624671916"/>
        </manualLayout>
      </layout>
      <lineChart>
        <grouping val="standard"/>
        <varyColors val="0"/>
        <ser>
          <idx val="2"/>
          <order val="0"/>
          <tx>
            <strRef>
              <f>'Récap Global'!$C$22</f>
              <strCache>
                <ptCount val="1"/>
                <pt idx="0">
                  <v>Base O&amp;G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Global'!$C$24,'Récap Global'!$C$26,'Récap Global'!$C$28,'Récap Global'!$C$30,'Récap Global'!$C$32,'Récap Global'!$C$34,'Récap Global'!$C$36,'Récap Global'!$C$38,'Récap Global'!$C$40,'Récap Global'!$C$42,'Récap Global'!$C$44,'Récap Global'!$C$46)</f>
              <numCache>
                <formatCode>_-* #\ ##0\ _€_-;\-* #\ ##0\ _€_-;_-* "-"??\ _€_-;_-@_-</formatCode>
                <ptCount val="12"/>
                <pt idx="0">
                  <v>58198</v>
                </pt>
                <pt idx="1">
                  <v>76867</v>
                </pt>
                <pt idx="2">
                  <v>37939</v>
                </pt>
                <pt idx="3">
                  <v>39815</v>
                </pt>
                <pt idx="4">
                  <v>59120</v>
                </pt>
                <pt idx="5">
                  <v>44460</v>
                </pt>
                <pt idx="6">
                  <v>19556</v>
                </pt>
                <pt idx="7">
                  <v>41107</v>
                </pt>
                <pt idx="8">
                  <v>37394</v>
                </pt>
                <pt idx="9">
                  <v>70199</v>
                </pt>
                <pt idx="10">
                  <v>41339</v>
                </pt>
                <pt idx="11">
                  <v>0</v>
                </pt>
              </numCache>
            </numRef>
          </val>
          <smooth val="0"/>
        </ser>
        <ser>
          <idx val="3"/>
          <order val="1"/>
          <tx>
            <strRef>
              <f>'Récap Global'!$D$22</f>
              <strCache>
                <ptCount val="1"/>
                <pt idx="0">
                  <v>Import Maritime</v>
                </pt>
              </strCache>
            </strRef>
          </tx>
          <spPr>
            <a:ln>
              <a:solidFill>
                <a:schemeClr val="accent2">
                  <a:lumMod val="75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Global'!$D$24,'Récap Global'!$D$26,'Récap Global'!$D$28,'Récap Global'!$D$30,'Récap Global'!$D$32,'Récap Global'!$D$34,'Récap Global'!$D$36,'Récap Global'!$D$38,'Récap Global'!$D$40,'Récap Global'!$D$42,'Récap Global'!$D$44,'Récap Global'!$D$46)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'Récap Global'!$E$22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Global'!$E$24,'Récap Global'!$E$26,'Récap Global'!$E$28,'Récap Global'!$E$30,'Récap Global'!$E$32,'Récap Global'!$E$34,'Récap Global'!$E$36,'Récap Global'!$E$38,'Récap Global'!$E$40,'Récap Global'!$E$42,'Récap Global'!$E$44,'Récap Global'!$E$46)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'Récap Global'!$F$22</f>
              <strCache>
                <ptCount val="1"/>
                <pt idx="0">
                  <v>Aérien</v>
                </pt>
              </strCache>
            </strRef>
          </tx>
          <spPr>
            <a:ln>
              <a:solidFill>
                <a:schemeClr val="accent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Global'!$F$24,'Récap Global'!$F$26,'Récap Global'!$F$28,'Récap Global'!$F$30,'Récap Global'!$F$32,'Récap Global'!$F$34,'Récap Global'!$F$36,'Récap Global'!$F$38,'Récap Global'!$F$40,'Récap Global'!$F$42,'Récap Global'!$F$44,'Récap Global'!$F$46)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6"/>
          <order val="4"/>
          <tx>
            <strRef>
              <f>'Récap Global'!$G$22</f>
              <strCache>
                <ptCount val="1"/>
                <pt idx="0">
                  <v>Export Maritime</v>
                </pt>
              </strCache>
            </strRef>
          </tx>
          <spPr>
            <a:ln>
              <a:solidFill>
                <a:schemeClr val="accent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Global'!$G$24,'Récap Global'!$G$26,'Récap Global'!$G$28,'Récap Global'!$G$30,'Récap Global'!$G$32,'Récap Global'!$G$34,'Récap Global'!$G$36,'Récap Global'!$G$38,'Récap Global'!$G$40,'Récap Global'!$G$42,'Récap Global'!$G$44,'Récap Global'!$G$46)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5"/>
          <tx>
            <strRef>
              <f>'Récap Global'!$H$22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Global'!$H$24,'Récap Global'!$H$26,'Récap Global'!$H$28,'Récap Global'!$H$30,'Récap Global'!$H$32,'Récap Global'!$H$34,'Récap Global'!$H$36,'Récap Global'!$H$38,'Récap Global'!$H$40,'Récap Global'!$H$42,'Récap Global'!$H$44,'Récap Global'!$H$46)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8"/>
          <order val="6"/>
          <tx>
            <strRef>
              <f>'Récap Global'!$I$22</f>
              <strCache>
                <ptCount val="1"/>
                <pt idx="0">
                  <v>Meet &amp; Greet</v>
                </pt>
              </strCache>
            </strRef>
          </tx>
          <spPr>
            <a:ln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Global'!$I$24,'Récap Global'!$I$26,'Récap Global'!$I$28,'Récap Global'!$I$30,'Récap Global'!$I$32,'Récap Global'!$I$34,'Récap Global'!$I$36,'Récap Global'!$I$38,'Récap Global'!$I$40,'Récap Global'!$I$42,'Récap Global'!$I$44,'Récap Global'!$I$46)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7"/>
          <tx>
            <strRef>
              <f>'Récap Global'!$J$22</f>
              <strCache>
                <ptCount val="1"/>
                <pt idx="0">
                  <v>SIRT / LEVAGE</v>
                </pt>
              </strCache>
            </strRef>
          </tx>
          <spPr>
            <a:ln>
              <a:solidFill>
                <a:schemeClr val="accent2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Global'!$J$24,'Récap Global'!$J$26,'Récap Global'!$J$28,'Récap Global'!$J$30,'Récap Global'!$J$32,'Récap Global'!$J$34,'Récap Global'!$J$36,'Récap Global'!$J$38,'Récap Global'!$J$40,'Récap Global'!$J$42,'Récap Global'!$J$44,'Récap Global'!$J$46)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922944"/>
        <axId val="149924480"/>
      </lineChart>
      <catAx>
        <axId val="14992294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49924480"/>
        <crosses val="autoZero"/>
        <auto val="1"/>
        <lblAlgn val="ctr"/>
        <lblOffset val="100"/>
        <noMultiLvlLbl val="0"/>
      </catAx>
      <valAx>
        <axId val="14992448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92294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929640</colOff>
      <row>17</row>
      <rowOff>278130</rowOff>
    </from>
    <to>
      <col>5</col>
      <colOff>891540</colOff>
      <row>17</row>
      <rowOff>4160520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480060</colOff>
      <row>49</row>
      <rowOff>26670</rowOff>
    </from>
    <to>
      <col>6</col>
      <colOff>38100</colOff>
      <row>82</row>
      <rowOff>102870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365760</colOff>
      <row>49</row>
      <rowOff>45720</rowOff>
    </from>
    <to>
      <col>10</col>
      <colOff>845820</colOff>
      <row>82</row>
      <rowOff>121920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</col>
      <colOff>83820</colOff>
      <row>17</row>
      <rowOff>281940</rowOff>
    </from>
    <to>
      <col>10</col>
      <colOff>899160</colOff>
      <row>17</row>
      <rowOff>4160520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zoomScale="85" zoomScaleNormal="85" workbookViewId="0">
      <pane xSplit="1" topLeftCell="B1" activePane="topRight" state="frozen"/>
      <selection pane="topRight" activeCell="C25" sqref="C25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hidden="1" width="16.7265625" customWidth="1" min="5" max="5"/>
    <col hidden="1" width="15.1796875" customWidth="1" style="1003" min="6" max="6"/>
    <col hidden="1" width="15.54296875" customWidth="1" style="1003" min="7" max="7"/>
    <col hidden="1" width="14.54296875" customWidth="1" style="1003" min="8" max="8"/>
    <col hidden="1" width="17.7265625" customWidth="1" style="1003" min="9" max="9"/>
    <col hidden="1" width="16.453125" customWidth="1" style="1003" min="10" max="10"/>
    <col hidden="1" width="17.81640625" customWidth="1" style="1003" min="11" max="11"/>
    <col hidden="1" width="16.453125" customWidth="1" style="1003" min="12" max="12"/>
    <col hidden="1" width="16.453125" customWidth="1" min="13" max="13"/>
    <col hidden="1" width="31.26953125" customWidth="1" min="14" max="14"/>
    <col hidden="1" width="18.26953125" customWidth="1" min="15" max="15"/>
    <col hidden="1" width="34.453125" customWidth="1" min="16" max="16"/>
    <col hidden="1" width="17.81640625" customWidth="1" min="17" max="19"/>
    <col hidden="1" width="9.7265625" customWidth="1" min="20" max="20"/>
    <col hidden="1" width="17.81640625" customWidth="1" min="21" max="22"/>
    <col hidden="1" width="7.7265625" customWidth="1" min="23" max="23"/>
    <col hidden="1" width="108" customWidth="1" min="24" max="24"/>
  </cols>
  <sheetData>
    <row r="1" ht="27" customHeight="1" thickBot="1">
      <c r="B1" s="1004" t="inlineStr">
        <is>
          <t>ESTIMATION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16 sur B16 &amp; R15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008" t="inlineStr">
        <is>
          <t>R16</t>
        </is>
      </c>
      <c r="Q2" s="1006" t="n"/>
      <c r="R2" s="1009" t="inlineStr">
        <is>
          <t xml:space="preserve">Variation Réel 16 / B16 </t>
        </is>
      </c>
      <c r="S2" s="1010" t="n"/>
      <c r="T2" s="1011" t="n"/>
      <c r="U2" s="1009" t="inlineStr">
        <is>
          <t>Variation Réel 16 / Réel 15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015" t="inlineStr">
        <is>
          <t>Sources revenus</t>
        </is>
      </c>
      <c r="Q3" s="1016" t="inlineStr">
        <is>
          <t>REEL BASE 2016</t>
        </is>
      </c>
      <c r="R3" s="8" t="inlineStr">
        <is>
          <t>Budget 2016</t>
        </is>
      </c>
      <c r="S3" s="296" t="inlineStr">
        <is>
          <t>VAR (FCFA)</t>
        </is>
      </c>
      <c r="T3" s="222" t="inlineStr">
        <is>
          <t>Var (%)</t>
        </is>
      </c>
      <c r="U3" s="8" t="inlineStr">
        <is>
          <t>Réel BASE 2015</t>
        </is>
      </c>
      <c r="V3" s="296" t="inlineStr">
        <is>
          <t>VAR (FCFA)</t>
        </is>
      </c>
      <c r="W3" s="222" t="inlineStr">
        <is>
          <t>Var (%)</t>
        </is>
      </c>
      <c r="X3" s="164" t="n"/>
    </row>
    <row r="4" ht="15" customHeight="1">
      <c r="A4" s="550" t="inlineStr">
        <is>
          <t>Afritramp C/O SAGA</t>
        </is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H4+G4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2" t="inlineStr">
        <is>
          <t>Afritramp C/O SAGA</t>
        </is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19" t="n"/>
      <c r="V4" s="1026">
        <f>Q4-U4</f>
        <v/>
      </c>
      <c r="W4" s="223">
        <f>(Q4/U4-1)</f>
        <v/>
      </c>
      <c r="X4" s="163" t="n"/>
    </row>
    <row r="5" ht="15" customHeight="1">
      <c r="A5" s="550" t="inlineStr">
        <is>
          <t>Antrak Ghana (Tullow Oil)</t>
        </is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H5+G5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2" t="inlineStr">
        <is>
          <t>Antrak Ghana (Tullow Oil)</t>
        </is>
      </c>
      <c r="Q5" s="1024">
        <f>D5</f>
        <v/>
      </c>
      <c r="R5" s="1025" t="n">
        <v>0</v>
      </c>
      <c r="S5" s="1026">
        <f>Q5-R5</f>
        <v/>
      </c>
      <c r="T5" s="223">
        <f>Q5/R5-1</f>
        <v/>
      </c>
      <c r="U5" s="1019" t="n"/>
      <c r="V5" s="1026">
        <f>Q5-U5</f>
        <v/>
      </c>
      <c r="W5" s="223">
        <f>(Q5/U5-1)</f>
        <v/>
      </c>
      <c r="X5" s="163" t="n"/>
    </row>
    <row r="6" ht="15" customHeight="1">
      <c r="A6" s="550" t="inlineStr">
        <is>
          <t>Anadarko</t>
        </is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H6+G6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2" t="inlineStr">
        <is>
          <t>Anadarko</t>
        </is>
      </c>
      <c r="Q6" s="1024">
        <f>D6</f>
        <v/>
      </c>
      <c r="R6" s="1025" t="n">
        <v>10416666.66666667</v>
      </c>
      <c r="S6" s="1026">
        <f>Q6-R6</f>
        <v/>
      </c>
      <c r="T6" s="223">
        <f>Q6/R6-1</f>
        <v/>
      </c>
      <c r="U6" s="1019">
        <f>116080+17732160</f>
        <v/>
      </c>
      <c r="V6" s="1026">
        <f>Q6-U6</f>
        <v/>
      </c>
      <c r="W6" s="223">
        <f>(Q6/U6-1)</f>
        <v/>
      </c>
      <c r="X6" s="163" t="n"/>
    </row>
    <row r="7" ht="15" customHeight="1">
      <c r="A7" s="550" t="inlineStr">
        <is>
          <t>Baker Hugues</t>
        </is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H7+G7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2" t="inlineStr">
        <is>
          <t>Baker Hugues</t>
        </is>
      </c>
      <c r="Q7" s="1024">
        <f>D7</f>
        <v/>
      </c>
      <c r="R7" s="1025" t="n">
        <v>13833333.33333333</v>
      </c>
      <c r="S7" s="1026">
        <f>Q7-R7</f>
        <v/>
      </c>
      <c r="T7" s="223">
        <f>Q7/R7-1</f>
        <v/>
      </c>
      <c r="U7" s="1019" t="n">
        <v>20563873</v>
      </c>
      <c r="V7" s="1026">
        <f>Q7-U7</f>
        <v/>
      </c>
      <c r="W7" s="223">
        <f>(Q7/U7-1)</f>
        <v/>
      </c>
      <c r="X7" s="163" t="n"/>
    </row>
    <row r="8" ht="15" customHeight="1">
      <c r="A8" s="550" t="inlineStr">
        <is>
          <t>BOURBON</t>
        </is>
      </c>
      <c r="B8" s="1017" t="n"/>
      <c r="C8" s="1018">
        <f>D8-B8</f>
        <v/>
      </c>
      <c r="D8" s="1019" t="n"/>
      <c r="E8" s="1020" t="n"/>
      <c r="F8" s="1020" t="n"/>
      <c r="G8" s="1021" t="n"/>
      <c r="H8" s="1027" t="n"/>
      <c r="I8" s="1020">
        <f>H8+G8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2" t="inlineStr">
        <is>
          <t>BOURBON</t>
        </is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19" t="n"/>
      <c r="V8" s="1026">
        <f>Q8-U8</f>
        <v/>
      </c>
      <c r="W8" s="223">
        <f>(Q8/U8-1)</f>
        <v/>
      </c>
      <c r="X8" s="163" t="n"/>
    </row>
    <row r="9" ht="15" customHeight="1">
      <c r="A9" s="550" t="inlineStr">
        <is>
          <t>CGG Veritas</t>
        </is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H9+G9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2" t="inlineStr">
        <is>
          <t>CGG Veritas</t>
        </is>
      </c>
      <c r="Q9" s="1024">
        <f>D9</f>
        <v/>
      </c>
      <c r="R9" s="1025" t="n">
        <v>0</v>
      </c>
      <c r="S9" s="1026">
        <f>Q9-R9</f>
        <v/>
      </c>
      <c r="T9" s="223">
        <f>Q9/R9-1</f>
        <v/>
      </c>
      <c r="U9" s="1019" t="n"/>
      <c r="V9" s="1026">
        <f>Q9-U9</f>
        <v/>
      </c>
      <c r="W9" s="223">
        <f>(Q9/U9-1)</f>
        <v/>
      </c>
      <c r="X9" s="163" t="n"/>
    </row>
    <row r="10" ht="15" customHeight="1">
      <c r="A10" s="550" t="inlineStr">
        <is>
          <t>CIAM</t>
        </is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H10+G10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2" t="inlineStr">
        <is>
          <t>CIAM</t>
        </is>
      </c>
      <c r="Q10" s="1024">
        <f>D10</f>
        <v/>
      </c>
      <c r="R10" s="1025" t="n">
        <v>2083333.333333333</v>
      </c>
      <c r="S10" s="1026">
        <f>Q10-R10</f>
        <v/>
      </c>
      <c r="T10" s="223">
        <f>Q10/R10-1</f>
        <v/>
      </c>
      <c r="U10" s="1019" t="n">
        <v>715000</v>
      </c>
      <c r="V10" s="1026">
        <f>Q10-U10</f>
        <v/>
      </c>
      <c r="W10" s="223">
        <f>(Q10/U10-1)</f>
        <v/>
      </c>
      <c r="X10" s="163" t="n"/>
    </row>
    <row r="11" ht="15" customHeight="1">
      <c r="A11" s="550" t="inlineStr">
        <is>
          <t>CNR</t>
        </is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H11+G11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2" t="inlineStr">
        <is>
          <t>CNR</t>
        </is>
      </c>
      <c r="Q11" s="1024">
        <f>D11</f>
        <v/>
      </c>
      <c r="R11" s="1025" t="n">
        <v>81666666.66666666</v>
      </c>
      <c r="S11" s="1026">
        <f>Q11-R11</f>
        <v/>
      </c>
      <c r="T11" s="223">
        <f>Q11/R11-1</f>
        <v/>
      </c>
      <c r="U11" s="1019" t="n">
        <v>91764418</v>
      </c>
      <c r="V11" s="1026">
        <f>Q11-U11</f>
        <v/>
      </c>
      <c r="W11" s="223">
        <f>(Q11/U11-1)</f>
        <v/>
      </c>
      <c r="X11" s="163" t="n"/>
    </row>
    <row r="12" ht="15" customHeight="1">
      <c r="A12" s="550" t="inlineStr">
        <is>
          <t>DIVERS/Various customer</t>
        </is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H12+G12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2" t="inlineStr">
        <is>
          <t>DIVERS/Various customer</t>
        </is>
      </c>
      <c r="Q12" s="1024">
        <f>D12</f>
        <v/>
      </c>
      <c r="R12" s="1025" t="n">
        <v>39583333.33333334</v>
      </c>
      <c r="S12" s="1026">
        <f>Q12-R12</f>
        <v/>
      </c>
      <c r="T12" s="223">
        <f>Q12/R12-1</f>
        <v/>
      </c>
      <c r="U12" s="1019" t="n">
        <v>-83126</v>
      </c>
      <c r="V12" s="1026">
        <f>Q12-U12</f>
        <v/>
      </c>
      <c r="W12" s="223">
        <f>(Q12/U12-1)</f>
        <v/>
      </c>
      <c r="X12" s="163" t="n"/>
    </row>
    <row r="13" ht="15" customHeight="1">
      <c r="A13" s="550" t="inlineStr">
        <is>
          <t>dolphin drilling</t>
        </is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H13+G13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2" t="inlineStr">
        <is>
          <t>dolphin drilling</t>
        </is>
      </c>
      <c r="Q13" s="1024">
        <f>D13</f>
        <v/>
      </c>
      <c r="R13" s="1025" t="n">
        <v>0</v>
      </c>
      <c r="S13" s="1026">
        <f>Q13-R13</f>
        <v/>
      </c>
      <c r="T13" s="223">
        <f>Q13/R13-1</f>
        <v/>
      </c>
      <c r="U13" s="1019" t="n"/>
      <c r="V13" s="1026">
        <f>Q13-U13</f>
        <v/>
      </c>
      <c r="W13" s="223">
        <f>(Q13/U13-1)</f>
        <v/>
      </c>
      <c r="X13" s="163" t="n"/>
    </row>
    <row r="14" ht="15" customHeight="1">
      <c r="A14" s="550" t="inlineStr">
        <is>
          <t>ExxonMobil</t>
        </is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H14+G14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2" t="inlineStr">
        <is>
          <t>ExxonMobil</t>
        </is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19" t="n"/>
      <c r="V14" s="1026">
        <f>Q14-U14</f>
        <v/>
      </c>
      <c r="W14" s="223">
        <f>(Q14/U14-1)</f>
        <v/>
      </c>
      <c r="X14" s="163" t="n"/>
    </row>
    <row r="15" ht="15" customHeight="1">
      <c r="A15" s="550" t="inlineStr">
        <is>
          <t>EXPRO GROUP NORTH SEA / S-Traitant</t>
        </is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H15+G15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2" t="inlineStr">
        <is>
          <t>EXPRO GROUP NORTH SEA / S-Traitant</t>
        </is>
      </c>
      <c r="Q15" s="1024">
        <f>D15</f>
        <v/>
      </c>
      <c r="R15" s="1025" t="n">
        <v>8250000</v>
      </c>
      <c r="S15" s="1026">
        <f>Q15-R15</f>
        <v/>
      </c>
      <c r="T15" s="223">
        <f>Q15/R15-1</f>
        <v/>
      </c>
      <c r="U15" s="1019" t="n">
        <v>5122000</v>
      </c>
      <c r="V15" s="1026">
        <f>Q15-U15</f>
        <v/>
      </c>
      <c r="W15" s="223">
        <f>(Q15/U15-1)</f>
        <v/>
      </c>
      <c r="X15" s="163" t="n"/>
    </row>
    <row r="16" ht="15" customHeight="1">
      <c r="A16" s="550" t="inlineStr">
        <is>
          <t>FUGRO</t>
        </is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H16+G16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2" t="inlineStr">
        <is>
          <t>FMC / Assistance</t>
        </is>
      </c>
      <c r="Q16" s="1024">
        <f>D16</f>
        <v/>
      </c>
      <c r="R16" s="1025" t="n">
        <v>0</v>
      </c>
      <c r="S16" s="1026">
        <f>Q16-R16</f>
        <v/>
      </c>
      <c r="T16" s="223">
        <f>Q16/R16-1</f>
        <v/>
      </c>
      <c r="U16" s="1019" t="n"/>
      <c r="V16" s="1026">
        <f>Q16-U16</f>
        <v/>
      </c>
      <c r="W16" s="223">
        <f>(Q16/U16-1)</f>
        <v/>
      </c>
      <c r="X16" s="163" t="n"/>
    </row>
    <row r="17" ht="15" customHeight="1">
      <c r="A17" s="550" t="inlineStr">
        <is>
          <t>FOXTROT</t>
        </is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H17+G17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2" t="inlineStr">
        <is>
          <t>FOXTROT</t>
        </is>
      </c>
      <c r="Q17" s="1024">
        <f>D17</f>
        <v/>
      </c>
      <c r="R17" s="1025" t="n">
        <v>65416666.66666667</v>
      </c>
      <c r="S17" s="1026">
        <f>Q17-R17</f>
        <v/>
      </c>
      <c r="T17" s="223">
        <f>Q17/R17-1</f>
        <v/>
      </c>
      <c r="U17" s="1019" t="n">
        <v>106573674</v>
      </c>
      <c r="V17" s="1026">
        <f>Q17-U17</f>
        <v/>
      </c>
      <c r="W17" s="223">
        <f>(Q17/U17-1)</f>
        <v/>
      </c>
      <c r="X17" s="163" t="n"/>
    </row>
    <row r="18" ht="15" customHeight="1">
      <c r="A18" s="550" t="inlineStr">
        <is>
          <t>Franks International</t>
        </is>
      </c>
      <c r="B18" s="1017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H18+G18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2" t="inlineStr">
        <is>
          <t>FUGRO / Assistance</t>
        </is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19" t="n"/>
      <c r="V18" s="1026">
        <f>Q18-U18</f>
        <v/>
      </c>
      <c r="W18" s="223">
        <f>(Q18/U18-1)</f>
        <v/>
      </c>
      <c r="X18" s="163" t="n"/>
    </row>
    <row r="19" ht="15" customHeight="1">
      <c r="A19" s="550" t="inlineStr">
        <is>
          <t>GLOBAL ENERGY</t>
        </is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H19+G19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2" t="inlineStr">
        <is>
          <t>GLOBAL ENERGY</t>
        </is>
      </c>
      <c r="Q19" s="1024">
        <f>D19</f>
        <v/>
      </c>
      <c r="R19" s="1025" t="n">
        <v>4166666.666666667</v>
      </c>
      <c r="S19" s="1026">
        <f>Q19-R19</f>
        <v/>
      </c>
      <c r="T19" s="223">
        <f>Q19/R19-1</f>
        <v/>
      </c>
      <c r="U19" s="1019" t="n">
        <v>4118387</v>
      </c>
      <c r="V19" s="1026">
        <f>Q19-U19</f>
        <v/>
      </c>
      <c r="W19" s="223">
        <f>(Q19/U19-1)</f>
        <v/>
      </c>
      <c r="X19" s="163" t="n"/>
    </row>
    <row r="20" ht="15" customHeight="1">
      <c r="A20" s="550" t="inlineStr">
        <is>
          <t>GULF OFFSHORE(NS) LTD</t>
        </is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H20+G20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2" t="inlineStr">
        <is>
          <t>GULF OFFSHORE(NS) LTD</t>
        </is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19" t="n"/>
      <c r="V20" s="1026">
        <f>Q20-U20</f>
        <v/>
      </c>
      <c r="W20" s="223">
        <f>(Q20/U20-1)</f>
        <v/>
      </c>
      <c r="X20" s="163" t="n"/>
    </row>
    <row r="21" ht="15" customHeight="1">
      <c r="A21" s="550" t="inlineStr">
        <is>
          <t>HALLIBURTON</t>
        </is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H21+G21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2" t="inlineStr">
        <is>
          <t>HALLIBURTON</t>
        </is>
      </c>
      <c r="Q21" s="1024">
        <f>D21</f>
        <v/>
      </c>
      <c r="R21" s="1025" t="n">
        <v>33333333.33333333</v>
      </c>
      <c r="S21" s="1026">
        <f>Q21-R21</f>
        <v/>
      </c>
      <c r="T21" s="223">
        <f>Q21/R21-1</f>
        <v/>
      </c>
      <c r="U21" s="1019" t="n">
        <v>48316159</v>
      </c>
      <c r="V21" s="1026">
        <f>Q21-U21</f>
        <v/>
      </c>
      <c r="W21" s="223">
        <f>(Q21/U21-1)</f>
        <v/>
      </c>
      <c r="X21" s="163" t="n"/>
    </row>
    <row r="22" ht="15" customHeight="1">
      <c r="A22" s="550" t="inlineStr">
        <is>
          <t>SAGA ITALIE</t>
        </is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H22+G22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2" t="inlineStr">
        <is>
          <t>INTERSHIP</t>
        </is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19" t="n">
        <v>-327500</v>
      </c>
      <c r="V22" s="1026">
        <f>Q22-U22</f>
        <v/>
      </c>
      <c r="W22" s="223">
        <f>(Q22/U22-1)</f>
        <v/>
      </c>
      <c r="X22" s="163" t="n"/>
    </row>
    <row r="23" ht="15" customHeight="1">
      <c r="A23" s="550" t="inlineStr">
        <is>
          <t>KCA Deutag</t>
        </is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H23+G23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2" t="inlineStr">
        <is>
          <t>KCA Deutag</t>
        </is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19" t="n"/>
      <c r="V23" s="1026">
        <f>Q23-U23</f>
        <v/>
      </c>
      <c r="W23" s="223">
        <f>(Q23/U23-1)</f>
        <v/>
      </c>
      <c r="X23" s="163" t="n"/>
    </row>
    <row r="24" ht="15" customHeight="1">
      <c r="A24" s="550" t="inlineStr">
        <is>
          <t>LUKOIL</t>
        </is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H24+G24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2" t="inlineStr">
        <is>
          <t>LUKOIL</t>
        </is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19" t="n">
        <v>86200</v>
      </c>
      <c r="V24" s="1026">
        <f>Q24-U24</f>
        <v/>
      </c>
      <c r="W24" s="223">
        <f>(Q24/U24-1)</f>
        <v/>
      </c>
      <c r="X24" s="163" t="n"/>
    </row>
    <row r="25" ht="15" customHeight="1">
      <c r="A25" s="550" t="inlineStr">
        <is>
          <t>MI</t>
        </is>
      </c>
      <c r="B25" s="1017" t="n"/>
      <c r="C25" s="1018" t="n"/>
      <c r="D25" s="1019" t="n"/>
      <c r="E25" s="1020" t="n"/>
      <c r="F25" s="1020" t="n"/>
      <c r="G25" s="1021" t="n"/>
      <c r="H25" s="1021" t="n"/>
      <c r="I25" s="1020">
        <f>H25+G25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2" t="inlineStr">
        <is>
          <t>MI</t>
        </is>
      </c>
      <c r="Q25" s="1024">
        <f>D25</f>
        <v/>
      </c>
      <c r="R25" s="1025" t="n">
        <v>16666666.66666667</v>
      </c>
      <c r="S25" s="1026">
        <f>Q25-R25</f>
        <v/>
      </c>
      <c r="T25" s="223">
        <f>Q25/R25-1</f>
        <v/>
      </c>
      <c r="U25" s="1019" t="n">
        <v>25310375</v>
      </c>
      <c r="V25" s="1026">
        <f>Q25-U25</f>
        <v/>
      </c>
      <c r="W25" s="223">
        <f>(Q25/U25-1)</f>
        <v/>
      </c>
      <c r="X25" s="163" t="n"/>
    </row>
    <row r="26" ht="15" customHeight="1">
      <c r="A26" s="550" t="inlineStr">
        <is>
          <t>National Oilwell Varcouk</t>
        </is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H26+G26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2" t="inlineStr">
        <is>
          <t>National Oilwell Varcouk</t>
        </is>
      </c>
      <c r="Q26" s="1024">
        <f>D26</f>
        <v/>
      </c>
      <c r="R26" s="1025" t="n">
        <v>0</v>
      </c>
      <c r="S26" s="1026">
        <f>Q26-R26</f>
        <v/>
      </c>
      <c r="T26" s="223">
        <f>Q26/R26-1</f>
        <v/>
      </c>
      <c r="U26" s="1019" t="n"/>
      <c r="V26" s="1026">
        <f>Q26-U26</f>
        <v/>
      </c>
      <c r="W26" s="223">
        <f>(Q26/U26-1)</f>
        <v/>
      </c>
      <c r="X26" s="163" t="n"/>
    </row>
    <row r="27" ht="15" customHeight="1">
      <c r="A27" s="550" t="inlineStr">
        <is>
          <t>NOPCI - MODEC</t>
        </is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H27+G27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2" t="inlineStr">
        <is>
          <t>NOPCI - MODEC</t>
        </is>
      </c>
      <c r="Q27" s="1024">
        <f>D27</f>
        <v/>
      </c>
      <c r="R27" s="1025" t="n">
        <v>833333.3333333334</v>
      </c>
      <c r="S27" s="1026">
        <f>Q27-R27</f>
        <v/>
      </c>
      <c r="T27" s="223">
        <f>Q27/R27-1</f>
        <v/>
      </c>
      <c r="U27" s="1019" t="n">
        <v>80235</v>
      </c>
      <c r="V27" s="1026">
        <f>Q27-U27</f>
        <v/>
      </c>
      <c r="W27" s="223">
        <f>(Q27/U27-1)</f>
        <v/>
      </c>
      <c r="X27" s="163" t="n"/>
    </row>
    <row r="28" ht="15" customHeight="1">
      <c r="A28" s="550" t="inlineStr">
        <is>
          <t>MICOPERI</t>
        </is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H28+G28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2" t="inlineStr">
        <is>
          <t>MICOPERI</t>
        </is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19" t="n">
        <v>10890950</v>
      </c>
      <c r="V28" s="1026">
        <f>Q28-U28</f>
        <v/>
      </c>
      <c r="W28" s="223">
        <f>(Q28/U28-1)</f>
        <v/>
      </c>
      <c r="X28" s="163" t="n"/>
    </row>
    <row r="29" ht="15" customHeight="1">
      <c r="A29" s="550" t="inlineStr">
        <is>
          <t>PENTAGON FREIGHT</t>
        </is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H29+G29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2" t="inlineStr">
        <is>
          <t>PENTAGON FREIGHT</t>
        </is>
      </c>
      <c r="Q29" s="1024">
        <f>D29</f>
        <v/>
      </c>
      <c r="R29" s="1025" t="n">
        <v>0</v>
      </c>
      <c r="S29" s="1026">
        <f>Q29-R29</f>
        <v/>
      </c>
      <c r="T29" s="223">
        <f>Q29/R29-1</f>
        <v/>
      </c>
      <c r="U29" s="1019" t="n"/>
      <c r="V29" s="1026">
        <f>Q29-U29</f>
        <v/>
      </c>
      <c r="W29" s="223">
        <f>(Q29/U29-1)</f>
        <v/>
      </c>
      <c r="X29" s="163" t="n"/>
    </row>
    <row r="30" ht="15" customHeight="1">
      <c r="A30" s="550" t="inlineStr">
        <is>
          <t>Prosafe</t>
        </is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H30+G30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2" t="inlineStr">
        <is>
          <t>Prosafe</t>
        </is>
      </c>
      <c r="Q30" s="1024">
        <f>D30</f>
        <v/>
      </c>
      <c r="R30" s="1025" t="n">
        <v>41666.66666666666</v>
      </c>
      <c r="S30" s="1026">
        <f>Q30-R30</f>
        <v/>
      </c>
      <c r="T30" s="223">
        <f>Q30/R30-1</f>
        <v/>
      </c>
      <c r="U30" s="1019" t="n">
        <v>223850</v>
      </c>
      <c r="V30" s="1026">
        <f>Q30-U30</f>
        <v/>
      </c>
      <c r="W30" s="223">
        <f>(Q30/U30-1)</f>
        <v/>
      </c>
      <c r="X30" s="163" t="n"/>
    </row>
    <row r="31" ht="15" customHeight="1">
      <c r="A31" s="550" t="inlineStr">
        <is>
          <t>Saphire Driller (Vantage)</t>
        </is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H31+G31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2" t="inlineStr">
        <is>
          <t>Saphire Driller (Vantage)</t>
        </is>
      </c>
      <c r="Q31" s="1024">
        <f>D31</f>
        <v/>
      </c>
      <c r="R31" s="1025" t="n">
        <v>0</v>
      </c>
      <c r="S31" s="1026">
        <f>Q31-R31</f>
        <v/>
      </c>
      <c r="T31" s="223">
        <f>Q31/R31-1</f>
        <v/>
      </c>
      <c r="U31" s="1019" t="n"/>
      <c r="V31" s="1026">
        <f>Q31-U31</f>
        <v/>
      </c>
      <c r="W31" s="223">
        <f>(Q31/U31-1)</f>
        <v/>
      </c>
      <c r="X31" s="163" t="n"/>
    </row>
    <row r="32" ht="15" customHeight="1">
      <c r="A32" s="550" t="inlineStr">
        <is>
          <t>BOLLORE NORWAY (PROSAFE)</t>
        </is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H32+G32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2" t="inlineStr">
        <is>
          <t>SDV BELGIUM</t>
        </is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19" t="n"/>
      <c r="V32" s="1026">
        <f>Q32-U32</f>
        <v/>
      </c>
      <c r="W32" s="223">
        <f>(Q32/U32-1)</f>
        <v/>
      </c>
      <c r="X32" s="163" t="n"/>
    </row>
    <row r="33" ht="15" customHeight="1">
      <c r="A33" s="550" t="inlineStr">
        <is>
          <t>SDV GHANA</t>
        </is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H33+G33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2" t="inlineStr">
        <is>
          <t>SDV GHANA</t>
        </is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19" t="n"/>
      <c r="V33" s="1026">
        <f>Q33-U33</f>
        <v/>
      </c>
      <c r="W33" s="223">
        <f>(Q33/U33-1)</f>
        <v/>
      </c>
      <c r="X33" s="163" t="n"/>
    </row>
    <row r="34" ht="15" customHeight="1">
      <c r="A34" s="550" t="inlineStr">
        <is>
          <t>SDV Usa</t>
        </is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H34+G34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2" t="inlineStr">
        <is>
          <t>SDV Usa</t>
        </is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19" t="n"/>
      <c r="V34" s="1026">
        <f>Q34-U34</f>
        <v/>
      </c>
      <c r="W34" s="223">
        <f>(Q34/U34-1)</f>
        <v/>
      </c>
      <c r="X34" s="163" t="n"/>
    </row>
    <row r="35" ht="15" customHeight="1">
      <c r="A35" s="550" t="inlineStr">
        <is>
          <t>BOLLORE SINGAPORE</t>
        </is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H35+G35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2" t="inlineStr">
        <is>
          <t>SDV Logistic Singapore (Prosafe)</t>
        </is>
      </c>
      <c r="Q35" s="1024">
        <f>D35</f>
        <v/>
      </c>
      <c r="R35" s="1025" t="n">
        <v>166666.6666666667</v>
      </c>
      <c r="S35" s="1026">
        <f>Q35-R35</f>
        <v/>
      </c>
      <c r="T35" s="223">
        <f>Q35/R35-1</f>
        <v/>
      </c>
      <c r="U35" s="1019" t="n">
        <v>297000</v>
      </c>
      <c r="V35" s="1026">
        <f>Q35-U35</f>
        <v/>
      </c>
      <c r="W35" s="223">
        <f>(Q35/U35-1)</f>
        <v/>
      </c>
      <c r="X35" s="163" t="n"/>
    </row>
    <row r="36" ht="15" customHeight="1">
      <c r="A36" s="550" t="inlineStr">
        <is>
          <t>BOLLORE DIVERS</t>
        </is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H36+G36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2" t="inlineStr">
        <is>
          <t>SDV Pau</t>
        </is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19" t="n"/>
      <c r="V36" s="1026">
        <f>Q36-U36</f>
        <v/>
      </c>
      <c r="W36" s="223">
        <f>(Q36/U36-1)</f>
        <v/>
      </c>
      <c r="X36" s="163" t="n"/>
    </row>
    <row r="37" ht="15" customHeight="1">
      <c r="A37" s="550" t="inlineStr">
        <is>
          <t>SUBSEA7</t>
        </is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H37+G37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2" t="inlineStr">
        <is>
          <t>SUBSEA7</t>
        </is>
      </c>
      <c r="Q37" s="1024">
        <f>D37</f>
        <v/>
      </c>
      <c r="R37" s="1025" t="n">
        <v>0</v>
      </c>
      <c r="S37" s="1026">
        <f>Q37-R37</f>
        <v/>
      </c>
      <c r="T37" s="223">
        <f>Q37/R37-1</f>
        <v/>
      </c>
      <c r="U37" s="1019" t="n">
        <v>74500</v>
      </c>
      <c r="V37" s="1026">
        <f>Q37-U37</f>
        <v/>
      </c>
      <c r="W37" s="223">
        <f>(Q37/U37-1)</f>
        <v/>
      </c>
      <c r="X37" s="163" t="n"/>
    </row>
    <row r="38" ht="15" customHeight="1">
      <c r="A38" s="550" t="inlineStr">
        <is>
          <t>SCHLUMBERGER</t>
        </is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H38+G38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2" t="inlineStr">
        <is>
          <t>SCHLUMBERGER</t>
        </is>
      </c>
      <c r="Q38" s="1024">
        <f>D38</f>
        <v/>
      </c>
      <c r="R38" s="1025" t="n">
        <v>44166666.66666667</v>
      </c>
      <c r="S38" s="1026">
        <f>Q38-R38</f>
        <v/>
      </c>
      <c r="T38" s="223">
        <f>Q38/R38-1</f>
        <v/>
      </c>
      <c r="U38" s="1019" t="n">
        <v>72038469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 t="inlineStr">
        <is>
          <t>Sapura Kencana Drilling</t>
        </is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H39+G39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2" t="inlineStr">
        <is>
          <t>Sapura Kencana Drilling</t>
        </is>
      </c>
      <c r="Q39" s="1024">
        <f>D39</f>
        <v/>
      </c>
      <c r="R39" s="1025" t="n">
        <v>2083333.333333333</v>
      </c>
      <c r="S39" s="1026">
        <f>Q39-R39</f>
        <v/>
      </c>
      <c r="T39" s="223">
        <f>Q39/R39-1</f>
        <v/>
      </c>
      <c r="U39" s="1019">
        <f>602906+25000</f>
        <v/>
      </c>
      <c r="V39" s="1026">
        <f>Q39-U39</f>
        <v/>
      </c>
      <c r="W39" s="223">
        <f>(Q39/U39-1)</f>
        <v/>
      </c>
      <c r="X39" s="163" t="n"/>
    </row>
    <row r="40" ht="15" customHeight="1">
      <c r="A40" s="550" t="inlineStr">
        <is>
          <t>SIR P/C Subtec</t>
        </is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H40+G40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2" t="inlineStr">
        <is>
          <t>SIR P/C Subtec</t>
        </is>
      </c>
      <c r="Q40" s="1024">
        <f>D40</f>
        <v/>
      </c>
      <c r="R40" s="1025" t="n">
        <v>166666.6666666667</v>
      </c>
      <c r="S40" s="1026">
        <f>Q40-R40</f>
        <v/>
      </c>
      <c r="T40" s="223">
        <f>Q40/R40-1</f>
        <v/>
      </c>
      <c r="U40" s="1019" t="n">
        <v>1152605</v>
      </c>
      <c r="V40" s="1026">
        <f>Q40-U40</f>
        <v/>
      </c>
      <c r="W40" s="223">
        <f>(Q40/U40-1)</f>
        <v/>
      </c>
      <c r="X40" s="163" t="n"/>
    </row>
    <row r="41" ht="15" customHeight="1">
      <c r="A41" s="550" t="inlineStr">
        <is>
          <t>SMB</t>
        </is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H41+G41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2" t="inlineStr">
        <is>
          <t>SMB</t>
        </is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19" t="n"/>
      <c r="V41" s="1026">
        <f>Q41-U41</f>
        <v/>
      </c>
      <c r="W41" s="223">
        <f>(Q41/U41-1)</f>
        <v/>
      </c>
      <c r="X41" s="163" t="n"/>
    </row>
    <row r="42" ht="15" customHeight="1">
      <c r="A42" s="550" t="inlineStr">
        <is>
          <t>SUBTEC</t>
        </is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H42+G42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2" t="inlineStr">
        <is>
          <t>SUBTEC</t>
        </is>
      </c>
      <c r="Q42" s="1024">
        <f>D42</f>
        <v/>
      </c>
      <c r="R42" s="1028" t="n">
        <v>1208333.333333333</v>
      </c>
      <c r="S42" s="1026">
        <f>Q42-R42</f>
        <v/>
      </c>
      <c r="T42" s="223">
        <f>Q42/R42-1</f>
        <v/>
      </c>
      <c r="U42" s="1019" t="n">
        <v>1098670</v>
      </c>
      <c r="V42" s="1026">
        <f>Q42-U42</f>
        <v/>
      </c>
      <c r="W42" s="223">
        <f>(Q42/U42-1)</f>
        <v/>
      </c>
      <c r="X42" s="163" t="n"/>
    </row>
    <row r="43" ht="15" customHeight="1">
      <c r="A43" s="550" t="inlineStr">
        <is>
          <t>Transocean</t>
        </is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H43+G43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2" t="inlineStr">
        <is>
          <t>Transocean</t>
        </is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19" t="n"/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 t="inlineStr">
        <is>
          <t>Tetra</t>
        </is>
      </c>
      <c r="B44" s="1017" t="n"/>
      <c r="C44" s="1018">
        <f>D44-B44</f>
        <v/>
      </c>
      <c r="D44" s="1019">
        <f>B44</f>
        <v/>
      </c>
      <c r="E44" s="1020" t="n"/>
      <c r="F44" s="1020" t="n"/>
      <c r="G44" s="1021" t="n"/>
      <c r="H44" s="1021" t="n"/>
      <c r="I44" s="1020">
        <f>H44+G44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2" t="inlineStr">
        <is>
          <t>Tetra</t>
        </is>
      </c>
      <c r="Q44" s="1024">
        <f>D44</f>
        <v/>
      </c>
      <c r="R44" s="1025" t="n">
        <v>9583333.333333332</v>
      </c>
      <c r="S44" s="1026">
        <f>Q44-R44</f>
        <v/>
      </c>
      <c r="T44" s="223">
        <f>Q44/R44-1</f>
        <v/>
      </c>
      <c r="U44" s="1019" t="n">
        <v>11152340</v>
      </c>
      <c r="V44" s="1026">
        <f>Q44-U44</f>
        <v/>
      </c>
      <c r="W44" s="223">
        <f>(Q44/U44-1)</f>
        <v/>
      </c>
      <c r="X44" s="163" t="n"/>
    </row>
    <row r="45" ht="15" customHeight="1">
      <c r="A45" s="550" t="inlineStr">
        <is>
          <t>TOTAL E&amp;P COTE D'IVOIRE</t>
        </is>
      </c>
      <c r="B45" s="1017" t="n"/>
      <c r="C45" s="1018">
        <f>D45-B45</f>
        <v/>
      </c>
      <c r="D45" s="1019">
        <f>B45</f>
        <v/>
      </c>
      <c r="E45" s="1020" t="n"/>
      <c r="F45" s="1020" t="n"/>
      <c r="G45" s="1021" t="n"/>
      <c r="H45" s="1021" t="n"/>
      <c r="I45" s="1020">
        <f>H45+G45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2" t="inlineStr">
        <is>
          <t>TOTAL E&amp;P COTE D'IVOIRE</t>
        </is>
      </c>
      <c r="Q45" s="1024">
        <f>D45</f>
        <v/>
      </c>
      <c r="R45" s="1025" t="n">
        <v>18333333.33333333</v>
      </c>
      <c r="S45" s="1026">
        <f>Q45-R45</f>
        <v/>
      </c>
      <c r="T45" s="223">
        <f>Q45/R45-1</f>
        <v/>
      </c>
      <c r="U45" s="1019">
        <f>7553210+7557866</f>
        <v/>
      </c>
      <c r="V45" s="1026">
        <f>Q45-U45</f>
        <v/>
      </c>
      <c r="W45" s="223">
        <f>(Q45/U45-1)</f>
        <v/>
      </c>
      <c r="X45" s="163" t="n"/>
    </row>
    <row r="46" ht="15" customHeight="1">
      <c r="A46" s="550" t="inlineStr">
        <is>
          <t>Tullow Oil</t>
        </is>
      </c>
      <c r="B46" s="1017" t="n"/>
      <c r="C46" s="1018">
        <f>D46-B46</f>
        <v/>
      </c>
      <c r="D46" s="1019">
        <f>B46</f>
        <v/>
      </c>
      <c r="E46" s="1020" t="n"/>
      <c r="F46" s="1020" t="n"/>
      <c r="G46" s="1021" t="n"/>
      <c r="H46" s="1021" t="n"/>
      <c r="I46" s="1020">
        <f>H46+G46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2" t="inlineStr">
        <is>
          <t>Tullow Oil</t>
        </is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19" t="n"/>
      <c r="V46" s="1026">
        <f>Q46-U46</f>
        <v/>
      </c>
      <c r="W46" s="223">
        <f>(Q46/U46-1)</f>
        <v/>
      </c>
      <c r="X46" s="163" t="n"/>
    </row>
    <row r="47" ht="15" customHeight="1">
      <c r="A47" s="550" t="inlineStr">
        <is>
          <t>VANCO/Lukoil</t>
        </is>
      </c>
      <c r="B47" s="1017" t="n"/>
      <c r="C47" s="1018">
        <f>D47-B47</f>
        <v/>
      </c>
      <c r="D47" s="1019">
        <f>B47</f>
        <v/>
      </c>
      <c r="E47" s="1020" t="n"/>
      <c r="F47" s="1020" t="n"/>
      <c r="G47" s="1021" t="n"/>
      <c r="H47" s="1021" t="n"/>
      <c r="I47" s="1020">
        <f>H47+G47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2" t="inlineStr">
        <is>
          <t>VANCO/Lukoil</t>
        </is>
      </c>
      <c r="Q47" s="1024">
        <f>D47</f>
        <v/>
      </c>
      <c r="R47" s="1025" t="n">
        <v>0</v>
      </c>
      <c r="S47" s="1026">
        <f>Q47-R47</f>
        <v/>
      </c>
      <c r="T47" s="223">
        <f>Q47/R47-1</f>
        <v/>
      </c>
      <c r="U47" s="1019" t="n"/>
      <c r="V47" s="1026">
        <f>Q47-U47</f>
        <v/>
      </c>
      <c r="W47" s="223">
        <f>(Q47/U47-1)</f>
        <v/>
      </c>
      <c r="X47" s="163" t="n"/>
    </row>
    <row r="48" ht="15" customHeight="1">
      <c r="A48" s="550" t="inlineStr">
        <is>
          <t>Vantage</t>
        </is>
      </c>
      <c r="B48" s="1017" t="n"/>
      <c r="C48" s="1018">
        <f>D48-B48</f>
        <v/>
      </c>
      <c r="D48" s="1019">
        <f>B48</f>
        <v/>
      </c>
      <c r="E48" s="1020" t="n"/>
      <c r="F48" s="1020" t="n"/>
      <c r="G48" s="1021" t="n"/>
      <c r="H48" s="1021" t="n"/>
      <c r="I48" s="1020">
        <f>H48+G48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2" t="inlineStr">
        <is>
          <t>Vantage</t>
        </is>
      </c>
      <c r="Q48" s="1024">
        <f>D48</f>
        <v/>
      </c>
      <c r="R48" s="1025" t="n">
        <v>0</v>
      </c>
      <c r="S48" s="1026">
        <f>Q48-R48</f>
        <v/>
      </c>
      <c r="T48" s="223">
        <f>Q48/R48-1</f>
        <v/>
      </c>
      <c r="U48" s="1019" t="n"/>
      <c r="V48" s="1026">
        <f>Q48-U48</f>
        <v/>
      </c>
      <c r="W48" s="223">
        <f>(Q48/U48-1)</f>
        <v/>
      </c>
      <c r="X48" s="163" t="n"/>
    </row>
    <row r="49" ht="15" customHeight="1">
      <c r="A49" s="550" t="inlineStr">
        <is>
          <t>WEATHERFORD</t>
        </is>
      </c>
      <c r="B49" s="1017" t="n"/>
      <c r="C49" s="1018">
        <f>D49-B49</f>
        <v/>
      </c>
      <c r="D49" s="1019">
        <f>B49</f>
        <v/>
      </c>
      <c r="E49" s="1020" t="n"/>
      <c r="F49" s="1020" t="n"/>
      <c r="G49" s="1021" t="n"/>
      <c r="H49" s="1021" t="n"/>
      <c r="I49" s="1020">
        <f>H49+G49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2" t="inlineStr">
        <is>
          <t>WEATHERFORD</t>
        </is>
      </c>
      <c r="Q49" s="1024">
        <f>D49</f>
        <v/>
      </c>
      <c r="R49" s="1025" t="n">
        <v>14750000</v>
      </c>
      <c r="S49" s="1026">
        <f>Q49-R49</f>
        <v/>
      </c>
      <c r="T49" s="223">
        <f>Q49/R49-1</f>
        <v/>
      </c>
      <c r="U49" s="1019" t="n">
        <v>29215540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65" t="inlineStr">
        <is>
          <t>Weltec</t>
        </is>
      </c>
      <c r="B50" s="1029" t="n"/>
      <c r="C50" s="1030">
        <f>D50-B50</f>
        <v/>
      </c>
      <c r="D50" s="1019">
        <f>B50</f>
        <v/>
      </c>
      <c r="E50" s="1031" t="n"/>
      <c r="F50" s="1031" t="n"/>
      <c r="G50" s="1032" t="n"/>
      <c r="H50" s="1032" t="n"/>
      <c r="I50" s="1031">
        <f>H50+G50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2" t="inlineStr">
        <is>
          <t>Weltec</t>
        </is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34" t="n"/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 t="n"/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4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232" t="n"/>
      <c r="S52" s="233" t="n"/>
      <c r="T52" s="234" t="n"/>
      <c r="U52" s="232" t="n"/>
      <c r="V52" s="233" t="n"/>
      <c r="W52" s="234" t="n"/>
      <c r="X52" s="234" t="n"/>
    </row>
    <row r="53" ht="16" customFormat="1" customHeight="1" s="1003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61" t="n"/>
      <c r="S53" s="1026">
        <f>Q53-R53</f>
        <v/>
      </c>
      <c r="T53" s="678">
        <f>Q53/R53-1</f>
        <v/>
      </c>
      <c r="U53" s="1048" t="n">
        <v>13458008</v>
      </c>
      <c r="V53" s="1062">
        <f>Q53-U53</f>
        <v/>
      </c>
      <c r="W53" s="678">
        <f>(Q53/U53-1)</f>
        <v/>
      </c>
      <c r="X53" s="225" t="n"/>
    </row>
    <row r="54" ht="19.5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>
        <f>F52</f>
        <v/>
      </c>
      <c r="R54" s="1067" t="n"/>
      <c r="S54" s="1026">
        <f>Q54-R54</f>
        <v/>
      </c>
      <c r="T54" s="678">
        <f>Q54/R54-1</f>
        <v/>
      </c>
      <c r="U54" s="1067" t="n">
        <v>0</v>
      </c>
      <c r="V54" s="1062">
        <f>Q54-U54</f>
        <v/>
      </c>
      <c r="W54" s="678">
        <f>(Q54/U54-1)</f>
        <v/>
      </c>
      <c r="X54" s="1068" t="n"/>
    </row>
    <row r="55" ht="16" customFormat="1" customHeight="1" s="1003" thickBot="1">
      <c r="P55" s="231" t="inlineStr">
        <is>
          <t>AER</t>
        </is>
      </c>
      <c r="Q55" s="1066">
        <f>I52</f>
        <v/>
      </c>
      <c r="R55" s="1067" t="n"/>
      <c r="S55" s="1026">
        <f>Q55-R55</f>
        <v/>
      </c>
      <c r="T55" s="678">
        <f>Q55/R55-1</f>
        <v/>
      </c>
      <c r="U55" s="1048">
        <f>15961760-10390000</f>
        <v/>
      </c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67" t="n"/>
      <c r="S56" s="1026">
        <f>Q56-R56</f>
        <v/>
      </c>
      <c r="T56" s="678">
        <f>Q56/R56-1</f>
        <v/>
      </c>
      <c r="U56" s="1050" t="n">
        <v>5594159</v>
      </c>
      <c r="V56" s="1062">
        <f>Q56-U56</f>
        <v/>
      </c>
      <c r="W56" s="678">
        <f>(Q56/U56-1)</f>
        <v/>
      </c>
      <c r="X56" s="1072" t="n"/>
    </row>
    <row r="57" ht="19" customHeight="1" thickBot="1"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3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1069" t="n"/>
      <c r="M58" s="1003" t="n"/>
      <c r="N58" s="1003" t="n"/>
      <c r="O58" s="1003" t="n"/>
      <c r="P58" s="1008" t="inlineStr">
        <is>
          <t>R15</t>
        </is>
      </c>
      <c r="Q58" s="1006" t="n"/>
      <c r="R58" s="1077" t="inlineStr">
        <is>
          <t xml:space="preserve">Variation Réel 15 / B15 </t>
        </is>
      </c>
      <c r="S58" s="1005" t="n"/>
      <c r="T58" s="1006" t="n"/>
      <c r="U58" s="1077" t="inlineStr">
        <is>
          <t xml:space="preserve">Variation Réel 15 / Réel 14 </t>
        </is>
      </c>
      <c r="V58" s="1005" t="n"/>
      <c r="W58" s="100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B3:Z60"/>
  <sheetViews>
    <sheetView topLeftCell="B1" zoomScale="80" zoomScaleNormal="80" workbookViewId="0">
      <selection activeCell="C67" sqref="C67"/>
    </sheetView>
  </sheetViews>
  <sheetFormatPr baseColWidth="10" defaultRowHeight="14.5"/>
  <cols>
    <col width="36.1796875" bestFit="1" customWidth="1" min="2" max="2"/>
    <col width="15.81640625" bestFit="1" customWidth="1" min="3" max="3"/>
    <col width="18.81640625" bestFit="1" customWidth="1" min="4" max="4"/>
    <col width="13.81640625" bestFit="1" customWidth="1" min="5" max="5"/>
    <col width="13.81640625" customWidth="1" min="6" max="6"/>
    <col width="12" customWidth="1" min="7" max="7"/>
    <col width="13.81640625" bestFit="1" customWidth="1" min="8" max="8"/>
    <col width="13.81640625" customWidth="1" min="9" max="9"/>
    <col width="12" customWidth="1" min="10" max="10"/>
    <col width="12.7265625" bestFit="1" customWidth="1" min="11" max="11"/>
    <col width="11.54296875" customWidth="1" min="12" max="14"/>
    <col width="13.81640625" customWidth="1" min="15" max="15"/>
    <col width="11.54296875" customWidth="1" min="16" max="16"/>
    <col width="10.26953125" bestFit="1" customWidth="1" min="17" max="17"/>
    <col hidden="1" width="11.453125" customWidth="1" min="18" max="18"/>
    <col hidden="1" width="13.26953125" customWidth="1" min="19" max="20"/>
    <col hidden="1" width="15.7265625" customWidth="1" min="21" max="21"/>
    <col width="23.54296875" customWidth="1" min="22" max="22"/>
    <col hidden="1" width="14.54296875" customWidth="1" min="23" max="23"/>
    <col width="16.26953125" bestFit="1" customWidth="1" min="24" max="24"/>
    <col width="14.54296875" customWidth="1" min="25" max="25"/>
    <col width="28.453125" bestFit="1" customWidth="1" min="26" max="26"/>
  </cols>
  <sheetData>
    <row r="2" ht="15" customHeight="1" thickBot="1"/>
    <row r="3" ht="15" customHeight="1" thickBot="1">
      <c r="B3" s="15" t="inlineStr">
        <is>
          <t>Base 1 (Oil &amp; Gas Vridi)</t>
        </is>
      </c>
      <c r="C3" s="1078" t="inlineStr">
        <is>
          <t>Oil &amp; Gas ALCI</t>
        </is>
      </c>
      <c r="D3" s="1005" t="n"/>
      <c r="E3" s="1005" t="n"/>
      <c r="F3" s="1005" t="n"/>
      <c r="G3" s="1005" t="n"/>
      <c r="H3" s="1005" t="n"/>
      <c r="I3" s="1005" t="n"/>
      <c r="J3" s="1005" t="n"/>
      <c r="K3" s="1005" t="n"/>
      <c r="L3" s="1005" t="n"/>
      <c r="M3" s="1005" t="n"/>
      <c r="N3" s="1005" t="n"/>
      <c r="O3" s="1005" t="n"/>
      <c r="P3" s="1005" t="n"/>
      <c r="Q3" s="1005" t="n"/>
      <c r="R3" s="1005" t="n"/>
      <c r="S3" s="1005" t="n"/>
      <c r="T3" s="1005" t="n"/>
      <c r="U3" s="1005" t="n"/>
      <c r="V3" s="1005" t="n"/>
      <c r="W3" s="1005" t="n"/>
      <c r="X3" s="1005" t="n"/>
      <c r="Y3" s="1005" t="n"/>
      <c r="Z3" s="1006" t="n"/>
    </row>
    <row r="4" ht="15" customHeight="1" thickBot="1">
      <c r="B4" s="16" t="inlineStr">
        <is>
          <t>Base 2 (Extension SEPBA)</t>
        </is>
      </c>
      <c r="C4" s="948" t="inlineStr">
        <is>
          <t>Occupied spaces</t>
        </is>
      </c>
      <c r="Q4" s="1079" t="n"/>
      <c r="S4" s="1080" t="inlineStr">
        <is>
          <t>Finance</t>
        </is>
      </c>
      <c r="T4" s="1010" t="n"/>
      <c r="U4" s="1010" t="n"/>
      <c r="V4" s="1010" t="n"/>
      <c r="W4" s="1010" t="n"/>
      <c r="X4" s="1010" t="n"/>
      <c r="Y4" s="1011" t="n"/>
      <c r="Z4" s="17" t="inlineStr">
        <is>
          <t>Comments on last tariffs update</t>
        </is>
      </c>
    </row>
    <row r="5" ht="15" customHeight="1" thickBot="1">
      <c r="B5" s="203" t="inlineStr">
        <is>
          <t>SOUS BAIL</t>
        </is>
      </c>
      <c r="C5" s="1081" t="inlineStr">
        <is>
          <t>Warehousing</t>
        </is>
      </c>
      <c r="D5" s="1005" t="n"/>
      <c r="E5" s="1006" t="n"/>
      <c r="F5" s="1081" t="inlineStr">
        <is>
          <t>Yard Clay</t>
        </is>
      </c>
      <c r="G5" s="1005" t="n"/>
      <c r="H5" s="1006" t="n"/>
      <c r="I5" s="1081" t="inlineStr">
        <is>
          <t>Yard Concrete</t>
        </is>
      </c>
      <c r="J5" s="1005" t="n"/>
      <c r="K5" s="1006" t="n"/>
      <c r="L5" s="956" t="inlineStr">
        <is>
          <t>Offices</t>
        </is>
      </c>
      <c r="M5" s="1005" t="n"/>
      <c r="N5" s="1005" t="n"/>
      <c r="O5" s="1081" t="inlineStr">
        <is>
          <t>Shed</t>
        </is>
      </c>
      <c r="P5" s="1005" t="n"/>
      <c r="Q5" s="1006" t="n"/>
      <c r="S5" s="1082" t="n"/>
      <c r="T5" s="1083" t="n"/>
      <c r="U5" s="1083" t="n"/>
      <c r="V5" s="1083" t="n"/>
      <c r="W5" s="1084" t="n"/>
      <c r="X5" s="1085" t="n"/>
      <c r="Y5" s="1085" t="n"/>
      <c r="Z5" s="17" t="n"/>
    </row>
    <row r="6" ht="15" customHeight="1" thickBot="1">
      <c r="B6" s="149" t="inlineStr">
        <is>
          <t>Clients</t>
        </is>
      </c>
      <c r="C6" s="154" t="inlineStr">
        <is>
          <t>Superficie (sqm)</t>
        </is>
      </c>
      <c r="D6" s="155" t="inlineStr">
        <is>
          <t>Price per Sqm</t>
        </is>
      </c>
      <c r="E6" s="157" t="inlineStr">
        <is>
          <t>Amount</t>
        </is>
      </c>
      <c r="F6" s="154" t="inlineStr">
        <is>
          <t>Superficie (sqm)</t>
        </is>
      </c>
      <c r="G6" s="155" t="inlineStr">
        <is>
          <t>Price per Sqm</t>
        </is>
      </c>
      <c r="H6" s="157" t="inlineStr">
        <is>
          <t>Amount</t>
        </is>
      </c>
      <c r="I6" s="154" t="inlineStr">
        <is>
          <t>Superficie (sqm)</t>
        </is>
      </c>
      <c r="J6" s="155" t="inlineStr">
        <is>
          <t>Price per Sqm</t>
        </is>
      </c>
      <c r="K6" s="157" t="inlineStr">
        <is>
          <t>Amount</t>
        </is>
      </c>
      <c r="L6" s="155" t="inlineStr">
        <is>
          <t>Superficie (sqm)</t>
        </is>
      </c>
      <c r="M6" s="155" t="inlineStr">
        <is>
          <t>Price per Sqm</t>
        </is>
      </c>
      <c r="N6" s="156" t="inlineStr">
        <is>
          <t>Amount</t>
        </is>
      </c>
      <c r="O6" s="154" t="inlineStr">
        <is>
          <t>Superficie (sqm)</t>
        </is>
      </c>
      <c r="P6" s="155" t="inlineStr">
        <is>
          <t>Price per Sqm</t>
        </is>
      </c>
      <c r="Q6" s="157" t="inlineStr">
        <is>
          <t>Amount</t>
        </is>
      </c>
      <c r="R6" s="18" t="inlineStr">
        <is>
          <t xml:space="preserve"> Reel2011</t>
        </is>
      </c>
      <c r="S6" s="1086" t="inlineStr">
        <is>
          <t>Reel 2011 €</t>
        </is>
      </c>
      <c r="T6" s="20" t="inlineStr">
        <is>
          <t>2012 Forecast</t>
        </is>
      </c>
      <c r="U6" s="1087" t="inlineStr">
        <is>
          <t>2012 Forecast €</t>
        </is>
      </c>
      <c r="V6" s="20" t="inlineStr">
        <is>
          <t>Monthly Revenue</t>
        </is>
      </c>
      <c r="W6" s="1088" t="inlineStr">
        <is>
          <t>2013 Budget €</t>
        </is>
      </c>
      <c r="X6" s="1089" t="inlineStr">
        <is>
          <t>Actually Invoiced</t>
        </is>
      </c>
      <c r="Y6" s="1089" t="inlineStr">
        <is>
          <t xml:space="preserve">Difference </t>
        </is>
      </c>
      <c r="Z6" s="164" t="n"/>
    </row>
    <row r="7">
      <c r="B7" s="150" t="inlineStr">
        <is>
          <t>Afritramp</t>
        </is>
      </c>
      <c r="C7" s="28" t="n"/>
      <c r="D7" s="2" t="n"/>
      <c r="E7" s="1090">
        <f>D7*C7</f>
        <v/>
      </c>
      <c r="F7" s="28" t="n"/>
      <c r="G7" s="2" t="n"/>
      <c r="H7" s="1090">
        <f>G7*F7</f>
        <v/>
      </c>
      <c r="I7" s="28" t="n"/>
      <c r="J7" s="2" t="n"/>
      <c r="K7" s="1090">
        <f>J7*I7</f>
        <v/>
      </c>
      <c r="L7" s="145" t="n"/>
      <c r="M7" s="2" t="n"/>
      <c r="N7" s="1090">
        <f>M7*L7</f>
        <v/>
      </c>
      <c r="O7" s="28" t="n"/>
      <c r="P7" s="2" t="n"/>
      <c r="Q7" s="1090">
        <f>P7*O7</f>
        <v/>
      </c>
      <c r="R7" s="23" t="n">
        <v>288</v>
      </c>
      <c r="S7" s="1091">
        <f>R7*1000/655.957</f>
        <v/>
      </c>
      <c r="T7" s="25" t="n">
        <v>0</v>
      </c>
      <c r="U7" s="1092">
        <f>T7*1000/655.957</f>
        <v/>
      </c>
      <c r="V7" s="1093">
        <f>Q7+N7+K7+H7+E7</f>
        <v/>
      </c>
      <c r="W7" s="1094">
        <f>V7*1000/655.957</f>
        <v/>
      </c>
      <c r="X7" s="1094" t="n"/>
      <c r="Y7" s="1095">
        <f>X7-V7</f>
        <v/>
      </c>
      <c r="Z7" s="163" t="n"/>
    </row>
    <row r="8">
      <c r="B8" s="151" t="inlineStr">
        <is>
          <t>ANADARKO</t>
        </is>
      </c>
      <c r="C8" s="28" t="n"/>
      <c r="D8" s="2" t="n">
        <v>5000</v>
      </c>
      <c r="E8" s="1090">
        <f>D8*C8</f>
        <v/>
      </c>
      <c r="F8" s="39" t="n">
        <v>5000</v>
      </c>
      <c r="G8" s="29" t="n">
        <v>1750</v>
      </c>
      <c r="H8" s="1090">
        <f>G8*F8</f>
        <v/>
      </c>
      <c r="I8" s="28" t="n"/>
      <c r="J8" s="2" t="n"/>
      <c r="K8" s="1090">
        <f>J8*I8</f>
        <v/>
      </c>
      <c r="L8" s="145" t="n"/>
      <c r="M8" s="2" t="n"/>
      <c r="N8" s="1090">
        <f>M8*L8</f>
        <v/>
      </c>
      <c r="O8" s="28" t="n"/>
      <c r="P8" s="2" t="n"/>
      <c r="Q8" s="1090">
        <f>P8*O8</f>
        <v/>
      </c>
      <c r="R8" s="30">
        <f>540+10776+6662</f>
        <v/>
      </c>
      <c r="S8" s="1096">
        <f>R8*1000/655.957</f>
        <v/>
      </c>
      <c r="T8" s="32" t="n">
        <v>46700</v>
      </c>
      <c r="U8" s="1021">
        <f>T8*1000/655.957</f>
        <v/>
      </c>
      <c r="V8" s="1093">
        <f>Q8+N8+K8+H8+E8</f>
        <v/>
      </c>
      <c r="W8" s="1097">
        <f>V8*1000/655.957</f>
        <v/>
      </c>
      <c r="X8" s="1097" t="n">
        <v>8750000</v>
      </c>
      <c r="Y8" s="1095">
        <f>X8-V8</f>
        <v/>
      </c>
      <c r="Z8" s="163" t="n"/>
    </row>
    <row r="9">
      <c r="B9" s="151" t="inlineStr">
        <is>
          <t>ANTRAK GHANA (Tullow Oil)</t>
        </is>
      </c>
      <c r="C9" s="28" t="n"/>
      <c r="D9" s="2" t="n"/>
      <c r="E9" s="1090">
        <f>D9*C9</f>
        <v/>
      </c>
      <c r="F9" s="28" t="n"/>
      <c r="G9" s="2" t="n"/>
      <c r="H9" s="1090">
        <f>G9*F9</f>
        <v/>
      </c>
      <c r="I9" s="28" t="n"/>
      <c r="J9" s="2" t="n"/>
      <c r="K9" s="1090">
        <f>J9*I9</f>
        <v/>
      </c>
      <c r="L9" s="145" t="n"/>
      <c r="M9" s="2" t="n"/>
      <c r="N9" s="1090">
        <f>M9*L9</f>
        <v/>
      </c>
      <c r="O9" s="28" t="n"/>
      <c r="P9" s="2" t="n"/>
      <c r="Q9" s="1090">
        <f>P9*O9</f>
        <v/>
      </c>
      <c r="R9" s="35" t="n">
        <v>5851</v>
      </c>
      <c r="S9" s="1096">
        <f>R9*1000/655.957</f>
        <v/>
      </c>
      <c r="T9" s="32" t="n">
        <v>9400</v>
      </c>
      <c r="U9" s="1021">
        <f>T9*1000/655.957</f>
        <v/>
      </c>
      <c r="V9" s="1093">
        <f>Q9+N9+K9+H9+E9</f>
        <v/>
      </c>
      <c r="W9" s="1097">
        <f>V9*1000/655.957</f>
        <v/>
      </c>
      <c r="X9" s="1097" t="n"/>
      <c r="Y9" s="1095">
        <f>X9-V9</f>
        <v/>
      </c>
      <c r="Z9" s="163" t="n"/>
    </row>
    <row r="10">
      <c r="B10" s="151" t="inlineStr">
        <is>
          <t>Baker Hugues</t>
        </is>
      </c>
      <c r="C10" s="204" t="n">
        <v>1166</v>
      </c>
      <c r="D10" s="205" t="n">
        <v>572</v>
      </c>
      <c r="E10" s="1098">
        <f>D10*C10</f>
        <v/>
      </c>
      <c r="F10" s="204" t="n"/>
      <c r="G10" s="205" t="n">
        <v>750</v>
      </c>
      <c r="H10" s="1098">
        <f>G10*F10</f>
        <v/>
      </c>
      <c r="I10" s="204" t="n">
        <v>1786</v>
      </c>
      <c r="J10" s="205" t="n">
        <v>1150</v>
      </c>
      <c r="K10" s="1098">
        <f>J10*I10</f>
        <v/>
      </c>
      <c r="L10" s="207" t="n">
        <v>92</v>
      </c>
      <c r="M10" s="205" t="n">
        <v>10000</v>
      </c>
      <c r="N10" s="1098">
        <f>M10*L10</f>
        <v/>
      </c>
      <c r="O10" s="204" t="n"/>
      <c r="P10" s="205" t="n">
        <v>1150</v>
      </c>
      <c r="Q10" s="1098">
        <f>P10*O10</f>
        <v/>
      </c>
      <c r="R10" s="208" t="n">
        <v>57345</v>
      </c>
      <c r="S10" s="1099">
        <f>R10*1000/655.957</f>
        <v/>
      </c>
      <c r="T10" s="210" t="n">
        <v>125500</v>
      </c>
      <c r="U10" s="1100">
        <f>T10*1000/655.957</f>
        <v/>
      </c>
      <c r="V10" s="1101">
        <f>Q10+N10+K10+H10+E10</f>
        <v/>
      </c>
      <c r="W10" s="1097">
        <f>V10*1000/655.957</f>
        <v/>
      </c>
      <c r="X10" s="1097" t="n">
        <v>5611000</v>
      </c>
      <c r="Y10" s="1095">
        <f>X10-V10</f>
        <v/>
      </c>
      <c r="Z10" s="163" t="n"/>
    </row>
    <row r="11">
      <c r="B11" s="151" t="inlineStr">
        <is>
          <t>BOURBON</t>
        </is>
      </c>
      <c r="C11" s="28" t="n"/>
      <c r="D11" s="2" t="n"/>
      <c r="E11" s="1090">
        <f>D11*C11</f>
        <v/>
      </c>
      <c r="F11" s="28" t="n"/>
      <c r="G11" s="2" t="n"/>
      <c r="H11" s="1090">
        <f>G11*F11</f>
        <v/>
      </c>
      <c r="I11" s="28" t="n"/>
      <c r="J11" s="2" t="n"/>
      <c r="K11" s="1090">
        <f>J11*I11</f>
        <v/>
      </c>
      <c r="L11" s="145" t="n"/>
      <c r="M11" s="2" t="n"/>
      <c r="N11" s="1090">
        <f>M11*L11</f>
        <v/>
      </c>
      <c r="O11" s="28" t="n"/>
      <c r="P11" s="2" t="n"/>
      <c r="Q11" s="1090">
        <f>P11*O11</f>
        <v/>
      </c>
      <c r="R11" s="35" t="n">
        <v>180</v>
      </c>
      <c r="S11" s="1096">
        <f>R11*1000/655.957</f>
        <v/>
      </c>
      <c r="T11" s="32" t="n">
        <v>0</v>
      </c>
      <c r="U11" s="1021">
        <f>T11*1000/655.957</f>
        <v/>
      </c>
      <c r="V11" s="1093">
        <f>Q11+N11+K11+H11+E11</f>
        <v/>
      </c>
      <c r="W11" s="1097">
        <f>V11*1000/655.957</f>
        <v/>
      </c>
      <c r="X11" s="1097" t="n"/>
      <c r="Y11" s="1095">
        <f>X11-V11</f>
        <v/>
      </c>
      <c r="Z11" s="163" t="n"/>
    </row>
    <row r="12">
      <c r="B12" s="151" t="inlineStr">
        <is>
          <t>CGGVERITAS</t>
        </is>
      </c>
      <c r="C12" s="28" t="n"/>
      <c r="D12" s="2" t="n"/>
      <c r="E12" s="1090">
        <f>D12*C12</f>
        <v/>
      </c>
      <c r="F12" s="28" t="n"/>
      <c r="G12" s="2" t="n"/>
      <c r="H12" s="1090">
        <f>G12*F12</f>
        <v/>
      </c>
      <c r="I12" s="28" t="n"/>
      <c r="J12" s="2" t="n"/>
      <c r="K12" s="1090">
        <f>J12*I12</f>
        <v/>
      </c>
      <c r="L12" s="145" t="n"/>
      <c r="M12" s="2" t="n"/>
      <c r="N12" s="1090">
        <f>M12*L12</f>
        <v/>
      </c>
      <c r="O12" s="28" t="n"/>
      <c r="P12" s="2" t="n"/>
      <c r="Q12" s="1090">
        <f>P12*O12</f>
        <v/>
      </c>
      <c r="R12" s="38" t="n"/>
      <c r="S12" s="1096">
        <f>R12*1000/655.957</f>
        <v/>
      </c>
      <c r="T12" s="32" t="n">
        <v>23500</v>
      </c>
      <c r="U12" s="1021">
        <f>T12*1000/655.957</f>
        <v/>
      </c>
      <c r="V12" s="1093">
        <f>Q12+N12+K12+H12+E12</f>
        <v/>
      </c>
      <c r="W12" s="1097">
        <f>V12*1000/655.957</f>
        <v/>
      </c>
      <c r="X12" s="1097" t="n"/>
      <c r="Y12" s="1095">
        <f>X12-V12</f>
        <v/>
      </c>
      <c r="Z12" s="163" t="n"/>
    </row>
    <row r="13">
      <c r="B13" s="151" t="inlineStr">
        <is>
          <t>CNR</t>
        </is>
      </c>
      <c r="C13" s="39" t="n">
        <v>2800</v>
      </c>
      <c r="D13" s="29" t="n">
        <v>2500</v>
      </c>
      <c r="E13" s="1090">
        <f>D13*C13</f>
        <v/>
      </c>
      <c r="F13" s="39" t="n">
        <v>20000</v>
      </c>
      <c r="G13" s="29" t="n">
        <v>1250</v>
      </c>
      <c r="H13" s="1090">
        <f>G13*F13</f>
        <v/>
      </c>
      <c r="I13" s="28" t="n"/>
      <c r="J13" s="2" t="n"/>
      <c r="K13" s="1090">
        <f>J13*I13</f>
        <v/>
      </c>
      <c r="L13" s="145" t="n"/>
      <c r="M13" s="2" t="n"/>
      <c r="N13" s="1090">
        <f>M13*L13</f>
        <v/>
      </c>
      <c r="O13" s="28" t="n"/>
      <c r="P13" s="2" t="n"/>
      <c r="Q13" s="1090">
        <f>P13*O13</f>
        <v/>
      </c>
      <c r="R13" s="35" t="n">
        <v>95699</v>
      </c>
      <c r="S13" s="1096">
        <f>R13*1000/655.957</f>
        <v/>
      </c>
      <c r="T13" s="32" t="n">
        <v>248000</v>
      </c>
      <c r="U13" s="1021">
        <f>T13*1000/655.957</f>
        <v/>
      </c>
      <c r="V13" s="1093">
        <f>Q13+N13+K13+H13+E13</f>
        <v/>
      </c>
      <c r="W13" s="1097">
        <f>V13*1000/655.957</f>
        <v/>
      </c>
      <c r="X13" s="1097" t="n">
        <v>29250000</v>
      </c>
      <c r="Y13" s="1095">
        <f>X13-V13</f>
        <v/>
      </c>
      <c r="Z13" s="163" t="n"/>
    </row>
    <row r="14" hidden="1">
      <c r="B14" s="151" t="inlineStr">
        <is>
          <t>DIVERS/various custumers</t>
        </is>
      </c>
      <c r="C14" s="28" t="n"/>
      <c r="D14" s="2" t="n"/>
      <c r="E14" s="1090">
        <f>D14*C14</f>
        <v/>
      </c>
      <c r="F14" s="28" t="n"/>
      <c r="G14" s="2" t="n"/>
      <c r="H14" s="1090">
        <f>G14*F14</f>
        <v/>
      </c>
      <c r="I14" s="28" t="n"/>
      <c r="J14" s="2" t="n"/>
      <c r="K14" s="1090">
        <f>J14*I14</f>
        <v/>
      </c>
      <c r="L14" s="145" t="n"/>
      <c r="M14" s="2" t="n"/>
      <c r="N14" s="1090">
        <f>M14*L14</f>
        <v/>
      </c>
      <c r="O14" s="28" t="n"/>
      <c r="P14" s="2" t="n"/>
      <c r="Q14" s="1090">
        <f>P14*O14</f>
        <v/>
      </c>
      <c r="R14" s="35">
        <f>1082+3497+19330</f>
        <v/>
      </c>
      <c r="S14" s="1096">
        <f>R14*1000/655.957</f>
        <v/>
      </c>
      <c r="T14" s="32" t="n">
        <v>28500</v>
      </c>
      <c r="U14" s="1021">
        <f>T14*1000/655.957</f>
        <v/>
      </c>
      <c r="V14" s="1093">
        <f>Q14+N14+K14+H14+E14</f>
        <v/>
      </c>
      <c r="W14" s="1097">
        <f>V14*1000/655.957</f>
        <v/>
      </c>
      <c r="X14" s="1097" t="n"/>
      <c r="Y14" s="1095">
        <f>X14-V14</f>
        <v/>
      </c>
      <c r="Z14" s="163" t="n"/>
    </row>
    <row r="15" hidden="1">
      <c r="B15" s="151" t="inlineStr">
        <is>
          <t>DOLPHIN DRILLING</t>
        </is>
      </c>
      <c r="C15" s="28" t="n"/>
      <c r="D15" s="2" t="n"/>
      <c r="E15" s="1090">
        <f>D15*C15</f>
        <v/>
      </c>
      <c r="F15" s="28" t="n"/>
      <c r="G15" s="2" t="n"/>
      <c r="H15" s="1090">
        <f>G15*F15</f>
        <v/>
      </c>
      <c r="I15" s="28" t="n"/>
      <c r="J15" s="2" t="n"/>
      <c r="K15" s="1090">
        <f>J15*I15</f>
        <v/>
      </c>
      <c r="L15" s="145" t="n"/>
      <c r="M15" s="2" t="n"/>
      <c r="N15" s="1090">
        <f>M15*L15</f>
        <v/>
      </c>
      <c r="O15" s="28" t="n"/>
      <c r="P15" s="2" t="n"/>
      <c r="Q15" s="1090">
        <f>P15*O15</f>
        <v/>
      </c>
      <c r="R15" s="38" t="n"/>
      <c r="S15" s="1096">
        <f>R15*1000/655.957</f>
        <v/>
      </c>
      <c r="T15" s="32" t="n">
        <v>0</v>
      </c>
      <c r="U15" s="1021">
        <f>T15*1000/655.957</f>
        <v/>
      </c>
      <c r="V15" s="1093">
        <f>Q15+N15+K15+H15+E15</f>
        <v/>
      </c>
      <c r="W15" s="1097">
        <f>V15*1000/655.957</f>
        <v/>
      </c>
      <c r="X15" s="1097" t="n"/>
      <c r="Y15" s="1095">
        <f>X15-V15</f>
        <v/>
      </c>
      <c r="Z15" s="163" t="n"/>
    </row>
    <row r="16" hidden="1">
      <c r="B16" s="151" t="inlineStr">
        <is>
          <t>EDISON INTERNATIONAL</t>
        </is>
      </c>
      <c r="C16" s="28" t="n"/>
      <c r="D16" s="2" t="n"/>
      <c r="E16" s="1090">
        <f>D16*C16</f>
        <v/>
      </c>
      <c r="F16" s="28" t="n"/>
      <c r="G16" s="2" t="n"/>
      <c r="H16" s="1090">
        <f>G16*F16</f>
        <v/>
      </c>
      <c r="I16" s="28" t="n"/>
      <c r="J16" s="2" t="n"/>
      <c r="K16" s="1090">
        <f>J16*I16</f>
        <v/>
      </c>
      <c r="L16" s="145" t="n"/>
      <c r="M16" s="2" t="n"/>
      <c r="N16" s="1090">
        <f>M16*L16</f>
        <v/>
      </c>
      <c r="O16" s="28" t="n"/>
      <c r="P16" s="2" t="n"/>
      <c r="Q16" s="1090">
        <f>P16*O16</f>
        <v/>
      </c>
      <c r="R16" s="35" t="n">
        <v>71</v>
      </c>
      <c r="S16" s="1096">
        <f>R16*1000/655.957</f>
        <v/>
      </c>
      <c r="T16" s="32" t="n">
        <v>0</v>
      </c>
      <c r="U16" s="1021">
        <f>T16*1000/655.957</f>
        <v/>
      </c>
      <c r="V16" s="1093">
        <f>Q16+N16+K16+H16+E16</f>
        <v/>
      </c>
      <c r="W16" s="1097">
        <f>V16*1000/655.957</f>
        <v/>
      </c>
      <c r="X16" s="1097" t="n"/>
      <c r="Y16" s="1095">
        <f>X16-V16</f>
        <v/>
      </c>
      <c r="Z16" s="163" t="n"/>
    </row>
    <row r="17" hidden="1">
      <c r="B17" s="151" t="inlineStr">
        <is>
          <t>EMAR</t>
        </is>
      </c>
      <c r="C17" s="28" t="n"/>
      <c r="D17" s="2" t="n"/>
      <c r="E17" s="1090">
        <f>D17*C17</f>
        <v/>
      </c>
      <c r="F17" s="28" t="n"/>
      <c r="G17" s="2" t="n"/>
      <c r="H17" s="1090">
        <f>G17*F17</f>
        <v/>
      </c>
      <c r="I17" s="28" t="n"/>
      <c r="J17" s="2" t="n"/>
      <c r="K17" s="1090">
        <f>J17*I17</f>
        <v/>
      </c>
      <c r="L17" s="145" t="n"/>
      <c r="M17" s="2" t="n"/>
      <c r="N17" s="1090">
        <f>M17*L17</f>
        <v/>
      </c>
      <c r="O17" s="28" t="n"/>
      <c r="P17" s="2" t="n"/>
      <c r="Q17" s="1090">
        <f>P17*O17</f>
        <v/>
      </c>
      <c r="R17" s="38" t="n"/>
      <c r="S17" s="1096">
        <f>R17*1000/655.957</f>
        <v/>
      </c>
      <c r="T17" s="32" t="n"/>
      <c r="U17" s="1021">
        <f>T17*1000/655.957</f>
        <v/>
      </c>
      <c r="V17" s="1093">
        <f>Q17+N17+K17+H17+E17</f>
        <v/>
      </c>
      <c r="W17" s="1097">
        <f>V17*1000/655.957</f>
        <v/>
      </c>
      <c r="X17" s="1097" t="n"/>
      <c r="Y17" s="1095">
        <f>X17-V17</f>
        <v/>
      </c>
      <c r="Z17" s="163" t="n"/>
    </row>
    <row r="18">
      <c r="B18" s="151" t="inlineStr">
        <is>
          <t>EXPRO GROUP NORTH SEA / S-Traitant</t>
        </is>
      </c>
      <c r="C18" s="36" t="n">
        <v>217</v>
      </c>
      <c r="D18" s="37" t="n"/>
      <c r="E18" s="1090">
        <f>D18*C18</f>
        <v/>
      </c>
      <c r="F18" s="36" t="n">
        <v>562</v>
      </c>
      <c r="G18" s="37" t="n"/>
      <c r="H18" s="1090">
        <f>G18*F18</f>
        <v/>
      </c>
      <c r="I18" s="36" t="n">
        <v>2114</v>
      </c>
      <c r="J18" s="37" t="n"/>
      <c r="K18" s="1090">
        <f>J18*I18</f>
        <v/>
      </c>
      <c r="L18" s="146" t="n">
        <v>216</v>
      </c>
      <c r="M18" s="37" t="n"/>
      <c r="N18" s="1090">
        <f>M18*L18</f>
        <v/>
      </c>
      <c r="O18" s="36" t="n">
        <v>351</v>
      </c>
      <c r="P18" s="37" t="n"/>
      <c r="Q18" s="1090">
        <f>P18*O18</f>
        <v/>
      </c>
      <c r="R18" s="35" t="n">
        <v>76767</v>
      </c>
      <c r="S18" s="1096">
        <f>R18*1000/655.957</f>
        <v/>
      </c>
      <c r="T18" s="32" t="n">
        <v>73000</v>
      </c>
      <c r="U18" s="1021">
        <f>T18*1000/655.957</f>
        <v/>
      </c>
      <c r="V18" s="1093">
        <f>Q18+N18+K18+H18+E18</f>
        <v/>
      </c>
      <c r="W18" s="1097">
        <f>V18*1000/655.957</f>
        <v/>
      </c>
      <c r="X18" s="1097" t="n">
        <v>4784000</v>
      </c>
      <c r="Y18" s="1095">
        <f>X18-V18</f>
        <v/>
      </c>
      <c r="Z18" s="163" t="n"/>
    </row>
    <row r="19">
      <c r="B19" s="151" t="inlineStr">
        <is>
          <t>FOXTROT</t>
        </is>
      </c>
      <c r="C19" s="36" t="n">
        <v>4500</v>
      </c>
      <c r="D19" s="37" t="n">
        <v>2500</v>
      </c>
      <c r="E19" s="1090">
        <f>D19*C19</f>
        <v/>
      </c>
      <c r="F19" s="36" t="n">
        <v>1290</v>
      </c>
      <c r="G19" s="37" t="n">
        <v>550</v>
      </c>
      <c r="H19" s="1090">
        <f>G19*F19</f>
        <v/>
      </c>
      <c r="I19" s="36" t="n">
        <v>3262</v>
      </c>
      <c r="J19" s="37" t="n">
        <v>1000</v>
      </c>
      <c r="K19" s="1090">
        <f>J19*I19</f>
        <v/>
      </c>
      <c r="L19" s="145" t="n"/>
      <c r="M19" s="2" t="n"/>
      <c r="N19" s="1090">
        <f>M19*L19</f>
        <v/>
      </c>
      <c r="O19" s="28" t="n"/>
      <c r="P19" s="2" t="n"/>
      <c r="Q19" s="1090">
        <f>P19*O19</f>
        <v/>
      </c>
      <c r="R19" s="35" t="n">
        <v>118138</v>
      </c>
      <c r="S19" s="1096">
        <f>R19*1000/655.957</f>
        <v/>
      </c>
      <c r="T19" s="32" t="n">
        <v>394740</v>
      </c>
      <c r="U19" s="1021">
        <f>T19*1000/655.957</f>
        <v/>
      </c>
      <c r="V19" s="1093">
        <f>Q19+N19+K19+H19+E19</f>
        <v/>
      </c>
      <c r="W19" s="1097">
        <f>V19*1000/655.957</f>
        <v/>
      </c>
      <c r="X19" s="1097" t="n">
        <v>6609000</v>
      </c>
      <c r="Y19" s="1095">
        <f>X19-V19</f>
        <v/>
      </c>
      <c r="Z19" s="163" t="n"/>
    </row>
    <row r="20">
      <c r="B20" s="151" t="inlineStr">
        <is>
          <t>GLOBAL ENERGY</t>
        </is>
      </c>
      <c r="C20" s="36" t="n">
        <v>218.5</v>
      </c>
      <c r="D20" s="37" t="n">
        <v>2500</v>
      </c>
      <c r="E20" s="1090">
        <f>D20*C20</f>
        <v/>
      </c>
      <c r="F20" s="36" t="n">
        <v>128</v>
      </c>
      <c r="G20" s="37" t="n">
        <v>1450</v>
      </c>
      <c r="H20" s="1090">
        <f>G20*F20</f>
        <v/>
      </c>
      <c r="I20" s="36" t="n">
        <v>1037</v>
      </c>
      <c r="J20" s="37" t="n">
        <v>1450</v>
      </c>
      <c r="K20" s="1090">
        <f>J20*I20</f>
        <v/>
      </c>
      <c r="L20" s="146" t="n">
        <v>25</v>
      </c>
      <c r="M20" s="37" t="n">
        <v>11500</v>
      </c>
      <c r="N20" s="1090">
        <f>M20*L20</f>
        <v/>
      </c>
      <c r="O20" s="36" t="n">
        <v>103</v>
      </c>
      <c r="P20" s="37" t="n"/>
      <c r="Q20" s="1090">
        <f>P20*O20</f>
        <v/>
      </c>
      <c r="R20" s="35" t="n">
        <v>33944</v>
      </c>
      <c r="S20" s="1096">
        <f>R20*1000/655.957</f>
        <v/>
      </c>
      <c r="T20" s="32" t="n">
        <v>77540</v>
      </c>
      <c r="U20" s="1021">
        <f>T20*1000/655.957</f>
        <v/>
      </c>
      <c r="V20" s="1093">
        <f>Q20+N20+K20+H20+E20</f>
        <v/>
      </c>
      <c r="W20" s="1097">
        <f>V20*1000/655.957</f>
        <v/>
      </c>
      <c r="X20" s="1097" t="n">
        <v>1890000</v>
      </c>
      <c r="Y20" s="1095">
        <f>X20-V20</f>
        <v/>
      </c>
      <c r="Z20" s="163" t="n"/>
    </row>
    <row r="21">
      <c r="B21" s="151" t="inlineStr">
        <is>
          <t>Global forwarding DHL</t>
        </is>
      </c>
      <c r="C21" s="28" t="n"/>
      <c r="D21" s="2" t="n"/>
      <c r="E21" s="1090">
        <f>D21*C21</f>
        <v/>
      </c>
      <c r="F21" s="28" t="n"/>
      <c r="G21" s="2" t="n"/>
      <c r="H21" s="1090">
        <f>G21*F21</f>
        <v/>
      </c>
      <c r="I21" s="28" t="n"/>
      <c r="J21" s="2" t="n"/>
      <c r="K21" s="1090">
        <f>J21*I21</f>
        <v/>
      </c>
      <c r="L21" s="145" t="n"/>
      <c r="M21" s="2" t="n"/>
      <c r="N21" s="1090">
        <f>M21*L21</f>
        <v/>
      </c>
      <c r="O21" s="28" t="n"/>
      <c r="P21" s="2" t="n"/>
      <c r="Q21" s="1090">
        <f>P21*O21</f>
        <v/>
      </c>
      <c r="R21" s="35" t="n">
        <v>835</v>
      </c>
      <c r="S21" s="1096">
        <f>R21*1000/655.957</f>
        <v/>
      </c>
      <c r="T21" s="32" t="n">
        <v>0</v>
      </c>
      <c r="U21" s="1021">
        <f>T21*1000/655.957</f>
        <v/>
      </c>
      <c r="V21" s="1093">
        <f>Q21+N21+K21+H21+E21</f>
        <v/>
      </c>
      <c r="W21" s="1097">
        <f>V21*1000/655.957</f>
        <v/>
      </c>
      <c r="X21" s="1097" t="n"/>
      <c r="Y21" s="1095">
        <f>X21-V21</f>
        <v/>
      </c>
      <c r="Z21" s="163" t="n"/>
    </row>
    <row r="22">
      <c r="B22" s="151" t="inlineStr">
        <is>
          <t>Gulf OFFSHORE</t>
        </is>
      </c>
      <c r="C22" s="28" t="n"/>
      <c r="D22" s="2" t="n"/>
      <c r="E22" s="1090">
        <f>D22*C22</f>
        <v/>
      </c>
      <c r="F22" s="28" t="n"/>
      <c r="G22" s="2" t="n"/>
      <c r="H22" s="1090">
        <f>G22*F22</f>
        <v/>
      </c>
      <c r="I22" s="28" t="n"/>
      <c r="J22" s="2" t="n"/>
      <c r="K22" s="1090">
        <f>J22*I22</f>
        <v/>
      </c>
      <c r="L22" s="145" t="n"/>
      <c r="M22" s="2" t="n"/>
      <c r="N22" s="1090">
        <f>M22*L22</f>
        <v/>
      </c>
      <c r="O22" s="28" t="n"/>
      <c r="P22" s="2" t="n"/>
      <c r="Q22" s="1090">
        <f>P22*O22</f>
        <v/>
      </c>
      <c r="R22" s="38" t="n"/>
      <c r="S22" s="1096">
        <f>R22*1000/655.957</f>
        <v/>
      </c>
      <c r="T22" s="32" t="n">
        <v>4600</v>
      </c>
      <c r="U22" s="1021">
        <f>T22*1000/655.957</f>
        <v/>
      </c>
      <c r="V22" s="1093">
        <f>Q22+N22+K22+H22+E22</f>
        <v/>
      </c>
      <c r="W22" s="1097">
        <f>V22*1000/655.957</f>
        <v/>
      </c>
      <c r="X22" s="1097" t="n"/>
      <c r="Y22" s="1095">
        <f>X22-V22</f>
        <v/>
      </c>
      <c r="Z22" s="163" t="n"/>
    </row>
    <row r="23">
      <c r="B23" s="151" t="inlineStr">
        <is>
          <t>HALLIBURTON</t>
        </is>
      </c>
      <c r="C23" s="36" t="n"/>
      <c r="D23" s="37" t="n">
        <v>2500</v>
      </c>
      <c r="E23" s="1090">
        <f>D23*C23</f>
        <v/>
      </c>
      <c r="F23" s="28" t="n"/>
      <c r="G23" s="2" t="n"/>
      <c r="H23" s="1090">
        <f>G23*F23</f>
        <v/>
      </c>
      <c r="I23" s="36" t="n"/>
      <c r="J23" s="37" t="n">
        <v>1570</v>
      </c>
      <c r="K23" s="1090">
        <f>J23*I23</f>
        <v/>
      </c>
      <c r="L23" s="207" t="n">
        <v>94</v>
      </c>
      <c r="M23" s="205" t="n">
        <v>13000</v>
      </c>
      <c r="N23" s="1098">
        <f>M23*L23</f>
        <v/>
      </c>
      <c r="O23" s="28" t="n"/>
      <c r="P23" s="2" t="n"/>
      <c r="Q23" s="1090">
        <f>P23*O23</f>
        <v/>
      </c>
      <c r="R23" s="35" t="n">
        <v>100629</v>
      </c>
      <c r="S23" s="1096">
        <f>R23*1000/655.957</f>
        <v/>
      </c>
      <c r="T23" s="32" t="n">
        <v>287780</v>
      </c>
      <c r="U23" s="1021">
        <f>T23*1000/655.957</f>
        <v/>
      </c>
      <c r="V23" s="1093">
        <f>Q23+N23+K23+H23+E23</f>
        <v/>
      </c>
      <c r="W23" s="1097">
        <f>V23*1000/655.957</f>
        <v/>
      </c>
      <c r="X23" s="1097" t="n">
        <v>7142000</v>
      </c>
      <c r="Y23" s="1095">
        <f>X23-V23</f>
        <v/>
      </c>
      <c r="Z23" s="163" t="n"/>
    </row>
    <row r="24" hidden="1">
      <c r="B24" s="151" t="inlineStr">
        <is>
          <t>HINTERLAND</t>
        </is>
      </c>
      <c r="C24" s="28" t="n"/>
      <c r="D24" s="2" t="n"/>
      <c r="E24" s="1090">
        <f>D24*C24</f>
        <v/>
      </c>
      <c r="F24" s="28" t="n"/>
      <c r="G24" s="2" t="n"/>
      <c r="H24" s="1090">
        <f>G24*F24</f>
        <v/>
      </c>
      <c r="I24" s="28" t="n"/>
      <c r="J24" s="2" t="n"/>
      <c r="K24" s="1090">
        <f>J24*I24</f>
        <v/>
      </c>
      <c r="L24" s="145" t="n"/>
      <c r="M24" s="2" t="n"/>
      <c r="N24" s="1090">
        <f>M24*L24</f>
        <v/>
      </c>
      <c r="O24" s="28" t="n"/>
      <c r="P24" s="2" t="n"/>
      <c r="Q24" s="1090">
        <f>P24*O24</f>
        <v/>
      </c>
      <c r="R24" s="38" t="n"/>
      <c r="S24" s="1096">
        <f>R24*1000/655.957</f>
        <v/>
      </c>
      <c r="T24" s="32" t="n"/>
      <c r="U24" s="1021">
        <f>T24*1000/655.957</f>
        <v/>
      </c>
      <c r="V24" s="1093">
        <f>Q24+N24+K24+H24+E24</f>
        <v/>
      </c>
      <c r="W24" s="1097">
        <f>V24*1000/655.957</f>
        <v/>
      </c>
      <c r="X24" s="1097" t="n"/>
      <c r="Y24" s="1095">
        <f>X24-V24</f>
        <v/>
      </c>
      <c r="Z24" s="163" t="n"/>
    </row>
    <row r="25" hidden="1">
      <c r="B25" s="151" t="inlineStr">
        <is>
          <t>Intership</t>
        </is>
      </c>
      <c r="C25" s="28" t="n"/>
      <c r="D25" s="2" t="n"/>
      <c r="E25" s="1090">
        <f>D25*C25</f>
        <v/>
      </c>
      <c r="F25" s="28" t="n"/>
      <c r="G25" s="2" t="n"/>
      <c r="H25" s="1090">
        <f>G25*F25</f>
        <v/>
      </c>
      <c r="I25" s="28" t="n"/>
      <c r="J25" s="2" t="n"/>
      <c r="K25" s="1090">
        <f>J25*I25</f>
        <v/>
      </c>
      <c r="L25" s="145" t="n"/>
      <c r="M25" s="2" t="n"/>
      <c r="N25" s="1090">
        <f>M25*L25</f>
        <v/>
      </c>
      <c r="O25" s="28" t="n"/>
      <c r="P25" s="2" t="n"/>
      <c r="Q25" s="1090">
        <f>P25*O25</f>
        <v/>
      </c>
      <c r="R25" s="35" t="n">
        <v>170</v>
      </c>
      <c r="S25" s="1096">
        <f>R25*1000/655.957</f>
        <v/>
      </c>
      <c r="T25" s="32" t="n"/>
      <c r="U25" s="1021">
        <f>T25*1000/655.957</f>
        <v/>
      </c>
      <c r="V25" s="1093">
        <f>Q25+N25+K25+H25+E25</f>
        <v/>
      </c>
      <c r="W25" s="1097">
        <f>V25*1000/655.957</f>
        <v/>
      </c>
      <c r="X25" s="1097" t="n"/>
      <c r="Y25" s="1095">
        <f>X25-V25</f>
        <v/>
      </c>
      <c r="Z25" s="163" t="n"/>
    </row>
    <row r="26" hidden="1">
      <c r="B26" s="151" t="inlineStr">
        <is>
          <t>KCAD</t>
        </is>
      </c>
      <c r="C26" s="28" t="n"/>
      <c r="D26" s="2" t="n"/>
      <c r="E26" s="1090">
        <f>D26*C26</f>
        <v/>
      </c>
      <c r="F26" s="28" t="n"/>
      <c r="G26" s="2" t="n"/>
      <c r="H26" s="1090">
        <f>G26*F26</f>
        <v/>
      </c>
      <c r="I26" s="28" t="n"/>
      <c r="J26" s="2" t="n"/>
      <c r="K26" s="1090">
        <f>J26*I26</f>
        <v/>
      </c>
      <c r="L26" s="145" t="n"/>
      <c r="M26" s="2" t="n"/>
      <c r="N26" s="1090">
        <f>M26*L26</f>
        <v/>
      </c>
      <c r="O26" s="28" t="n"/>
      <c r="P26" s="2" t="n"/>
      <c r="Q26" s="1090">
        <f>P26*O26</f>
        <v/>
      </c>
      <c r="R26" s="38" t="n"/>
      <c r="S26" s="1096">
        <f>R26*1000/655.957</f>
        <v/>
      </c>
      <c r="T26" s="32" t="n">
        <v>43500</v>
      </c>
      <c r="U26" s="1021">
        <f>T26*1000/655.957</f>
        <v/>
      </c>
      <c r="V26" s="1093">
        <f>Q26+N26+K26+H26+E26</f>
        <v/>
      </c>
      <c r="W26" s="1097">
        <f>V26*1000/655.957</f>
        <v/>
      </c>
      <c r="X26" s="1097" t="n"/>
      <c r="Y26" s="1095">
        <f>X26-V26</f>
        <v/>
      </c>
      <c r="Z26" s="163" t="n"/>
    </row>
    <row r="27" hidden="1">
      <c r="B27" s="151" t="inlineStr">
        <is>
          <t>LGL</t>
        </is>
      </c>
      <c r="C27" s="28" t="n"/>
      <c r="D27" s="2" t="n"/>
      <c r="E27" s="1090">
        <f>D27*C27</f>
        <v/>
      </c>
      <c r="F27" s="28" t="n"/>
      <c r="G27" s="2" t="n"/>
      <c r="H27" s="1090">
        <f>G27*F27</f>
        <v/>
      </c>
      <c r="I27" s="28" t="n"/>
      <c r="J27" s="2" t="n"/>
      <c r="K27" s="1090">
        <f>J27*I27</f>
        <v/>
      </c>
      <c r="L27" s="145" t="n"/>
      <c r="M27" s="2" t="n"/>
      <c r="N27" s="1090">
        <f>M27*L27</f>
        <v/>
      </c>
      <c r="O27" s="28" t="n"/>
      <c r="P27" s="2" t="n"/>
      <c r="Q27" s="1090">
        <f>P27*O27</f>
        <v/>
      </c>
      <c r="R27" s="35" t="n">
        <v>3733</v>
      </c>
      <c r="S27" s="1096">
        <f>R27*1000/655.957</f>
        <v/>
      </c>
      <c r="T27" s="32" t="n"/>
      <c r="U27" s="1021">
        <f>T27*1000/655.957</f>
        <v/>
      </c>
      <c r="V27" s="1093">
        <f>Q27+N27+K27+H27+E27</f>
        <v/>
      </c>
      <c r="W27" s="1097">
        <f>V27*1000/655.957</f>
        <v/>
      </c>
      <c r="X27" s="1097" t="n"/>
      <c r="Y27" s="1095">
        <f>X27-V27</f>
        <v/>
      </c>
      <c r="Z27" s="163" t="n"/>
    </row>
    <row r="28" hidden="1">
      <c r="B28" s="151" t="inlineStr">
        <is>
          <t>Lukoil</t>
        </is>
      </c>
      <c r="C28" s="28" t="n"/>
      <c r="D28" s="2" t="n"/>
      <c r="E28" s="1090">
        <f>D28*C28</f>
        <v/>
      </c>
      <c r="F28" s="28" t="n"/>
      <c r="G28" s="2" t="n"/>
      <c r="H28" s="1090">
        <f>G28*F28</f>
        <v/>
      </c>
      <c r="I28" s="28" t="n"/>
      <c r="J28" s="2" t="n"/>
      <c r="K28" s="1090">
        <f>J28*I28</f>
        <v/>
      </c>
      <c r="L28" s="145" t="n"/>
      <c r="M28" s="2" t="n"/>
      <c r="N28" s="1090">
        <f>M28*L28</f>
        <v/>
      </c>
      <c r="O28" s="28" t="n"/>
      <c r="P28" s="2" t="n"/>
      <c r="Q28" s="1090">
        <f>P28*O28</f>
        <v/>
      </c>
      <c r="R28" s="38" t="n"/>
      <c r="S28" s="1096">
        <f>R28*1000/655.957</f>
        <v/>
      </c>
      <c r="T28" s="32" t="n">
        <v>7170</v>
      </c>
      <c r="U28" s="1021">
        <f>T28*1000/655.957</f>
        <v/>
      </c>
      <c r="V28" s="1093">
        <f>Q28+N28+K28+H28+E28</f>
        <v/>
      </c>
      <c r="W28" s="1097">
        <f>V28*1000/655.957</f>
        <v/>
      </c>
      <c r="X28" s="1097" t="n"/>
      <c r="Y28" s="1095">
        <f>X28-V28</f>
        <v/>
      </c>
      <c r="Z28" s="163" t="n"/>
    </row>
    <row r="29" hidden="1">
      <c r="B29" s="151" t="inlineStr">
        <is>
          <t>MICOPERI</t>
        </is>
      </c>
      <c r="C29" s="28" t="n"/>
      <c r="D29" s="2" t="n"/>
      <c r="E29" s="1090">
        <f>D29*C29</f>
        <v/>
      </c>
      <c r="F29" s="28" t="n"/>
      <c r="G29" s="2" t="n"/>
      <c r="H29" s="1090">
        <f>G29*F29</f>
        <v/>
      </c>
      <c r="I29" s="28" t="n"/>
      <c r="J29" s="2" t="n"/>
      <c r="K29" s="1090">
        <f>J29*I29</f>
        <v/>
      </c>
      <c r="L29" s="145" t="n"/>
      <c r="M29" s="2" t="n"/>
      <c r="N29" s="1090">
        <f>M29*L29</f>
        <v/>
      </c>
      <c r="O29" s="28" t="n"/>
      <c r="P29" s="2" t="n"/>
      <c r="Q29" s="1090">
        <f>P29*O29</f>
        <v/>
      </c>
      <c r="R29" s="35" t="n">
        <v>73644</v>
      </c>
      <c r="S29" s="1096">
        <f>R29*1000/655.957</f>
        <v/>
      </c>
      <c r="T29" s="32" t="n">
        <v>102000</v>
      </c>
      <c r="U29" s="1021">
        <f>T29*1000/655.957</f>
        <v/>
      </c>
      <c r="V29" s="1093">
        <f>Q29+N29+K29+H29+E29</f>
        <v/>
      </c>
      <c r="W29" s="1097">
        <f>V29*1000/655.957</f>
        <v/>
      </c>
      <c r="X29" s="1097" t="n">
        <v>12084000</v>
      </c>
      <c r="Y29" s="1095">
        <f>X29-V29</f>
        <v/>
      </c>
      <c r="Z29" s="163" t="n"/>
    </row>
    <row r="30">
      <c r="B30" s="151" t="inlineStr">
        <is>
          <t>NOPCI - MODEC</t>
        </is>
      </c>
      <c r="C30" s="28" t="n"/>
      <c r="D30" s="2" t="n"/>
      <c r="E30" s="1090">
        <f>D30*C30</f>
        <v/>
      </c>
      <c r="F30" s="28" t="n"/>
      <c r="G30" s="2" t="n"/>
      <c r="H30" s="1090">
        <f>G30*F30</f>
        <v/>
      </c>
      <c r="I30" s="28" t="n"/>
      <c r="J30" s="2" t="n"/>
      <c r="K30" s="1090">
        <f>J30*I30</f>
        <v/>
      </c>
      <c r="L30" s="146" t="n">
        <v>340</v>
      </c>
      <c r="M30" s="37" t="n">
        <v>5374</v>
      </c>
      <c r="N30" s="1090">
        <f>M30*L30</f>
        <v/>
      </c>
      <c r="O30" s="28" t="n"/>
      <c r="P30" s="2" t="n"/>
      <c r="Q30" s="1090">
        <f>P30*O30</f>
        <v/>
      </c>
      <c r="R30" s="35" t="n">
        <v>28646</v>
      </c>
      <c r="S30" s="1096">
        <f>R30*1000/655.957</f>
        <v/>
      </c>
      <c r="T30" s="32" t="n">
        <v>22300</v>
      </c>
      <c r="U30" s="1021">
        <f>T30*1000/655.957</f>
        <v/>
      </c>
      <c r="V30" s="1093">
        <f>Q30+N30+K30+H30+E30</f>
        <v/>
      </c>
      <c r="W30" s="1097">
        <f>V30*1000/655.957</f>
        <v/>
      </c>
      <c r="X30" s="1097">
        <f>1368000+459096</f>
        <v/>
      </c>
      <c r="Y30" s="1095">
        <f>X30-V30</f>
        <v/>
      </c>
      <c r="Z30" s="163" t="n"/>
    </row>
    <row r="31" hidden="1">
      <c r="B31" s="151" t="inlineStr">
        <is>
          <t>NOV</t>
        </is>
      </c>
      <c r="C31" s="28" t="n"/>
      <c r="D31" s="2" t="n"/>
      <c r="E31" s="1090">
        <f>D31*C31</f>
        <v/>
      </c>
      <c r="F31" s="28" t="n"/>
      <c r="G31" s="2" t="n"/>
      <c r="H31" s="1090">
        <f>G31*F31</f>
        <v/>
      </c>
      <c r="I31" s="28" t="n"/>
      <c r="J31" s="2" t="n"/>
      <c r="K31" s="1090">
        <f>J31*I31</f>
        <v/>
      </c>
      <c r="L31" s="145" t="n"/>
      <c r="M31" s="2" t="n"/>
      <c r="N31" s="1090">
        <f>M31*L31</f>
        <v/>
      </c>
      <c r="O31" s="28" t="n"/>
      <c r="P31" s="2" t="n"/>
      <c r="Q31" s="1090">
        <f>P31*O31</f>
        <v/>
      </c>
      <c r="R31" s="38" t="n"/>
      <c r="S31" s="1096">
        <f>R31*1000/655.957</f>
        <v/>
      </c>
      <c r="T31" s="32" t="n">
        <v>1000</v>
      </c>
      <c r="U31" s="1021">
        <f>T31*1000/655.957</f>
        <v/>
      </c>
      <c r="V31" s="1093">
        <f>Q31+N31+K31+H31+E31</f>
        <v/>
      </c>
      <c r="W31" s="1097">
        <f>V31*1000/655.957</f>
        <v/>
      </c>
      <c r="X31" s="1097" t="n"/>
      <c r="Y31" s="1095">
        <f>X31-V31</f>
        <v/>
      </c>
      <c r="Z31" s="163" t="n"/>
    </row>
    <row r="32" hidden="1">
      <c r="B32" s="151" t="inlineStr">
        <is>
          <t>Ocean Rig</t>
        </is>
      </c>
      <c r="C32" s="28" t="n"/>
      <c r="D32" s="2" t="n"/>
      <c r="E32" s="1090">
        <f>D32*C32</f>
        <v/>
      </c>
      <c r="F32" s="28" t="n"/>
      <c r="G32" s="2" t="n"/>
      <c r="H32" s="1090">
        <f>G32*F32</f>
        <v/>
      </c>
      <c r="I32" s="28" t="n"/>
      <c r="J32" s="2" t="n"/>
      <c r="K32" s="1090">
        <f>J32*I32</f>
        <v/>
      </c>
      <c r="L32" s="145" t="n"/>
      <c r="M32" s="2" t="n"/>
      <c r="N32" s="1090">
        <f>M32*L32</f>
        <v/>
      </c>
      <c r="O32" s="28" t="n"/>
      <c r="P32" s="2" t="n"/>
      <c r="Q32" s="1090">
        <f>P32*O32</f>
        <v/>
      </c>
      <c r="R32" s="38" t="n"/>
      <c r="S32" s="1096">
        <f>R32*1000/655.957</f>
        <v/>
      </c>
      <c r="T32" s="32" t="n">
        <v>10200</v>
      </c>
      <c r="U32" s="1021">
        <f>T32*1000/655.957</f>
        <v/>
      </c>
      <c r="V32" s="1093">
        <f>Q32+N32+K32+H32+E32</f>
        <v/>
      </c>
      <c r="W32" s="1097">
        <f>V32*1000/655.957</f>
        <v/>
      </c>
      <c r="X32" s="1097" t="n"/>
      <c r="Y32" s="1095">
        <f>X32-V32</f>
        <v/>
      </c>
      <c r="Z32" s="163" t="n"/>
    </row>
    <row r="33" hidden="1">
      <c r="B33" s="151" t="inlineStr">
        <is>
          <t>Rialto</t>
        </is>
      </c>
      <c r="C33" s="28" t="n"/>
      <c r="D33" s="2" t="n"/>
      <c r="E33" s="1090">
        <f>D33*C33</f>
        <v/>
      </c>
      <c r="F33" s="28" t="n"/>
      <c r="G33" s="2" t="n"/>
      <c r="H33" s="1090">
        <f>G33*F33</f>
        <v/>
      </c>
      <c r="I33" s="28" t="n"/>
      <c r="J33" s="2" t="n"/>
      <c r="K33" s="1090">
        <f>J33*I33</f>
        <v/>
      </c>
      <c r="L33" s="145" t="n"/>
      <c r="M33" s="2" t="n"/>
      <c r="N33" s="1090">
        <f>M33*L33</f>
        <v/>
      </c>
      <c r="O33" s="28" t="n"/>
      <c r="P33" s="2" t="n"/>
      <c r="Q33" s="1090">
        <f>P33*O33</f>
        <v/>
      </c>
      <c r="R33" s="38" t="n"/>
      <c r="S33" s="1096">
        <f>R33*1000/655.957</f>
        <v/>
      </c>
      <c r="T33" s="32" t="n"/>
      <c r="U33" s="1021">
        <f>T33*1000/655.957</f>
        <v/>
      </c>
      <c r="V33" s="1093">
        <f>Q33+N33+K33+H33+E33</f>
        <v/>
      </c>
      <c r="W33" s="1097">
        <f>V33*1000/655.957</f>
        <v/>
      </c>
      <c r="X33" s="1097" t="n"/>
      <c r="Y33" s="1095">
        <f>X33-V33</f>
        <v/>
      </c>
      <c r="Z33" s="163" t="n"/>
    </row>
    <row r="34" hidden="1">
      <c r="B34" s="151" t="inlineStr">
        <is>
          <t>SAPPHIRE DRILLER COMPANY</t>
        </is>
      </c>
      <c r="C34" s="28" t="n"/>
      <c r="D34" s="2" t="n"/>
      <c r="E34" s="1090">
        <f>D34*C34</f>
        <v/>
      </c>
      <c r="F34" s="28" t="n"/>
      <c r="G34" s="2" t="n"/>
      <c r="H34" s="1090">
        <f>G34*F34</f>
        <v/>
      </c>
      <c r="I34" s="28" t="n"/>
      <c r="J34" s="2" t="n"/>
      <c r="K34" s="1090">
        <f>J34*I34</f>
        <v/>
      </c>
      <c r="L34" s="145" t="n"/>
      <c r="M34" s="2" t="n"/>
      <c r="N34" s="1090">
        <f>M34*L34</f>
        <v/>
      </c>
      <c r="O34" s="28" t="n"/>
      <c r="P34" s="2" t="n"/>
      <c r="Q34" s="1090">
        <f>P34*O34</f>
        <v/>
      </c>
      <c r="R34" s="35" t="n">
        <v>3954</v>
      </c>
      <c r="S34" s="1096">
        <f>R34*1000/655.957</f>
        <v/>
      </c>
      <c r="T34" s="32" t="n">
        <v>75000</v>
      </c>
      <c r="U34" s="1021">
        <f>T34*1000/655.957</f>
        <v/>
      </c>
      <c r="V34" s="1093">
        <f>Q34+N34+K34+H34+E34</f>
        <v/>
      </c>
      <c r="W34" s="1097">
        <f>V34*1000/655.957</f>
        <v/>
      </c>
      <c r="X34" s="1097" t="n"/>
      <c r="Y34" s="1095">
        <f>X34-V34</f>
        <v/>
      </c>
      <c r="Z34" s="163" t="n"/>
    </row>
    <row r="35" hidden="1">
      <c r="B35" s="151" t="inlineStr">
        <is>
          <t>SAS</t>
        </is>
      </c>
      <c r="C35" s="28" t="n"/>
      <c r="D35" s="2" t="n"/>
      <c r="E35" s="1090">
        <f>D35*C35</f>
        <v/>
      </c>
      <c r="F35" s="28" t="n"/>
      <c r="G35" s="2" t="n"/>
      <c r="H35" s="1090">
        <f>G35*F35</f>
        <v/>
      </c>
      <c r="I35" s="28" t="n"/>
      <c r="J35" s="2" t="n"/>
      <c r="K35" s="1090">
        <f>J35*I35</f>
        <v/>
      </c>
      <c r="L35" s="145" t="n"/>
      <c r="M35" s="2" t="n"/>
      <c r="N35" s="1090">
        <f>M35*L35</f>
        <v/>
      </c>
      <c r="O35" s="28" t="n"/>
      <c r="P35" s="2" t="n"/>
      <c r="Q35" s="1090">
        <f>P35*O35</f>
        <v/>
      </c>
      <c r="R35" s="35" t="n">
        <v>250</v>
      </c>
      <c r="S35" s="1096">
        <f>R35*1000/655.957</f>
        <v/>
      </c>
      <c r="T35" s="32" t="n"/>
      <c r="U35" s="1021">
        <f>T35*1000/655.957</f>
        <v/>
      </c>
      <c r="V35" s="1093">
        <f>Q35+N35+K35+H35+E35</f>
        <v/>
      </c>
      <c r="W35" s="1097">
        <f>V35*1000/655.957</f>
        <v/>
      </c>
      <c r="X35" s="1097" t="n"/>
      <c r="Y35" s="1095">
        <f>X35-V35</f>
        <v/>
      </c>
      <c r="Z35" s="163" t="n"/>
    </row>
    <row r="36">
      <c r="B36" s="151" t="inlineStr">
        <is>
          <t>Schlumberger (sous bail)</t>
        </is>
      </c>
      <c r="C36" s="204" t="n">
        <v>728</v>
      </c>
      <c r="D36" s="204" t="n">
        <v>3500</v>
      </c>
      <c r="E36" s="1098">
        <f>D36*C36</f>
        <v/>
      </c>
      <c r="F36" s="213" t="n"/>
      <c r="G36" s="214" t="n"/>
      <c r="H36" s="1098">
        <f>G36*F36</f>
        <v/>
      </c>
      <c r="I36" s="204" t="n">
        <v>830</v>
      </c>
      <c r="J36" s="204" t="n">
        <v>2000</v>
      </c>
      <c r="K36" s="1098">
        <f>J36*I36</f>
        <v/>
      </c>
      <c r="L36" s="145" t="n"/>
      <c r="M36" s="2" t="n"/>
      <c r="N36" s="1090" t="n"/>
      <c r="O36" s="28" t="n"/>
      <c r="P36" s="2" t="n"/>
      <c r="Q36" s="1090" t="n"/>
      <c r="R36" s="35" t="n"/>
      <c r="S36" s="1096" t="n"/>
      <c r="T36" s="32" t="n"/>
      <c r="U36" s="1021" t="n"/>
      <c r="V36" s="1093">
        <f>Q36+N36+K36+H36+E36</f>
        <v/>
      </c>
      <c r="W36" s="1097" t="n"/>
      <c r="X36" s="1097" t="n">
        <v>4208000</v>
      </c>
      <c r="Y36" s="1095">
        <f>X36-V36</f>
        <v/>
      </c>
      <c r="Z36" s="163" t="n"/>
    </row>
    <row r="37">
      <c r="B37" s="151" t="inlineStr">
        <is>
          <t>Schlumberger</t>
        </is>
      </c>
      <c r="C37" s="36" t="n">
        <v>4000</v>
      </c>
      <c r="D37" s="37" t="n">
        <v>3000</v>
      </c>
      <c r="E37" s="1090">
        <f>D37*C37</f>
        <v/>
      </c>
      <c r="F37" s="36" t="n">
        <v>392</v>
      </c>
      <c r="G37" s="37" t="n">
        <v>8000</v>
      </c>
      <c r="H37" s="1090">
        <f>G37*F37</f>
        <v/>
      </c>
      <c r="I37" s="36" t="n">
        <v>2500</v>
      </c>
      <c r="J37" s="37" t="n">
        <v>1200</v>
      </c>
      <c r="K37" s="1090">
        <f>J37*I37</f>
        <v/>
      </c>
      <c r="L37" s="145" t="n"/>
      <c r="M37" s="2" t="n"/>
      <c r="N37" s="1090">
        <f>M37*L37</f>
        <v/>
      </c>
      <c r="O37" s="28" t="n"/>
      <c r="P37" s="2" t="n"/>
      <c r="Q37" s="1090">
        <f>P37*O37</f>
        <v/>
      </c>
      <c r="R37" s="35" t="n">
        <v>6417</v>
      </c>
      <c r="S37" s="1096">
        <f>R37*1000/655.957</f>
        <v/>
      </c>
      <c r="T37" s="32" t="n">
        <v>116400</v>
      </c>
      <c r="U37" s="1021">
        <f>T37*1000/655.957</f>
        <v/>
      </c>
      <c r="V37" s="1093">
        <f>Q37+N37+K37+H37+E37</f>
        <v/>
      </c>
      <c r="W37" s="1097">
        <f>V37*1000/655.957</f>
        <v/>
      </c>
      <c r="X37" s="1097">
        <f>15000000+3136000</f>
        <v/>
      </c>
      <c r="Y37" s="1095">
        <f>X37-V37</f>
        <v/>
      </c>
      <c r="Z37" s="163" t="n"/>
    </row>
    <row r="38">
      <c r="B38" s="151" t="inlineStr">
        <is>
          <t>SDV Logisitc Singapore (Prosafe)</t>
        </is>
      </c>
      <c r="C38" s="28" t="n"/>
      <c r="D38" s="2" t="n"/>
      <c r="E38" s="1090">
        <f>D38*C38</f>
        <v/>
      </c>
      <c r="F38" s="28" t="n"/>
      <c r="G38" s="2" t="n"/>
      <c r="H38" s="1090">
        <f>G38*F38</f>
        <v/>
      </c>
      <c r="I38" s="36" t="n"/>
      <c r="J38" s="37" t="n"/>
      <c r="K38" s="1090">
        <f>J38*I38</f>
        <v/>
      </c>
      <c r="L38" s="145" t="n"/>
      <c r="M38" s="2" t="n"/>
      <c r="N38" s="1090">
        <f>M38*L38</f>
        <v/>
      </c>
      <c r="O38" s="28" t="n"/>
      <c r="P38" s="2" t="n"/>
      <c r="Q38" s="1090">
        <f>P38*O38</f>
        <v/>
      </c>
      <c r="R38" s="35" t="n">
        <v>851</v>
      </c>
      <c r="S38" s="1096">
        <f>R38*1000/655.957</f>
        <v/>
      </c>
      <c r="T38" s="32" t="n">
        <v>21000</v>
      </c>
      <c r="U38" s="1021">
        <f>T38*1000/655.957</f>
        <v/>
      </c>
      <c r="V38" s="1093">
        <f>Q38+N38+K38+H38+E38</f>
        <v/>
      </c>
      <c r="W38" s="1097">
        <f>V38*1000/655.957</f>
        <v/>
      </c>
      <c r="X38" s="1097" t="n"/>
      <c r="Y38" s="1095">
        <f>X38-V38</f>
        <v/>
      </c>
      <c r="Z38" s="163" t="n"/>
    </row>
    <row r="39" hidden="1">
      <c r="B39" s="151" t="inlineStr">
        <is>
          <t>SDV USA</t>
        </is>
      </c>
      <c r="C39" s="28" t="n"/>
      <c r="D39" s="2" t="n"/>
      <c r="E39" s="1090">
        <f>D39*C39</f>
        <v/>
      </c>
      <c r="F39" s="28" t="n"/>
      <c r="G39" s="2" t="n"/>
      <c r="H39" s="1090">
        <f>G39*F39</f>
        <v/>
      </c>
      <c r="I39" s="28" t="n"/>
      <c r="J39" s="2" t="n"/>
      <c r="K39" s="1090">
        <f>J39*I39</f>
        <v/>
      </c>
      <c r="L39" s="145" t="n"/>
      <c r="M39" s="2" t="n"/>
      <c r="N39" s="1090">
        <f>M39*L39</f>
        <v/>
      </c>
      <c r="O39" s="28" t="n"/>
      <c r="P39" s="2" t="n"/>
      <c r="Q39" s="1090">
        <f>P39*O39</f>
        <v/>
      </c>
      <c r="R39" s="35" t="n">
        <v>65</v>
      </c>
      <c r="S39" s="1096">
        <f>R39*1000/655.957</f>
        <v/>
      </c>
      <c r="T39" s="32" t="n">
        <v>8000</v>
      </c>
      <c r="U39" s="1021">
        <f>T39*1000/655.957</f>
        <v/>
      </c>
      <c r="V39" s="1093">
        <f>Q39+N39+K39+H39+E39</f>
        <v/>
      </c>
      <c r="W39" s="1097">
        <f>V39*1000/655.957</f>
        <v/>
      </c>
      <c r="X39" s="1097" t="n"/>
      <c r="Y39" s="1095">
        <f>X39-V39</f>
        <v/>
      </c>
      <c r="Z39" s="163" t="n"/>
    </row>
    <row r="40">
      <c r="B40" s="151" t="inlineStr">
        <is>
          <t>SIMEX</t>
        </is>
      </c>
      <c r="C40" s="28" t="n"/>
      <c r="D40" s="2" t="n"/>
      <c r="E40" s="1090">
        <f>D40*C40</f>
        <v/>
      </c>
      <c r="F40" s="28" t="n"/>
      <c r="G40" s="2" t="n"/>
      <c r="H40" s="1090">
        <f>G40*F40</f>
        <v/>
      </c>
      <c r="I40" s="36" t="n"/>
      <c r="J40" s="37" t="n">
        <v>1000</v>
      </c>
      <c r="K40" s="1090">
        <f>J40*I40</f>
        <v/>
      </c>
      <c r="L40" s="146" t="n">
        <v>26</v>
      </c>
      <c r="M40" s="37" t="n">
        <v>1815</v>
      </c>
      <c r="N40" s="1090">
        <f>M40*L40</f>
        <v/>
      </c>
      <c r="O40" s="28" t="n"/>
      <c r="P40" s="2" t="n"/>
      <c r="Q40" s="1090">
        <f>P40*O40</f>
        <v/>
      </c>
      <c r="R40" s="38" t="n"/>
      <c r="S40" s="1096">
        <f>R40*1000/655.957</f>
        <v/>
      </c>
      <c r="T40" s="32" t="n">
        <v>1430</v>
      </c>
      <c r="U40" s="1021">
        <f>T40*1000/655.957</f>
        <v/>
      </c>
      <c r="V40" s="1093">
        <f>Q40+N40+K40+H40+E40</f>
        <v/>
      </c>
      <c r="W40" s="1097">
        <f>V40*1000/655.957</f>
        <v/>
      </c>
      <c r="X40" s="1097" t="n">
        <v>182200</v>
      </c>
      <c r="Y40" s="1095">
        <f>X40-V40</f>
        <v/>
      </c>
      <c r="Z40" s="163" t="inlineStr">
        <is>
          <t>Inclus TVA + éléctricité</t>
        </is>
      </c>
    </row>
    <row r="41" hidden="1">
      <c r="B41" s="151" t="inlineStr">
        <is>
          <t>SIRT</t>
        </is>
      </c>
      <c r="C41" s="28" t="n"/>
      <c r="D41" s="2" t="n"/>
      <c r="E41" s="1090">
        <f>D41*C41</f>
        <v/>
      </c>
      <c r="F41" s="28" t="n"/>
      <c r="G41" s="2" t="n"/>
      <c r="H41" s="1090">
        <f>G41*F41</f>
        <v/>
      </c>
      <c r="I41" s="28" t="n"/>
      <c r="J41" s="2" t="n"/>
      <c r="K41" s="1090">
        <f>J41*I41</f>
        <v/>
      </c>
      <c r="L41" s="145" t="n"/>
      <c r="M41" s="2" t="n"/>
      <c r="N41" s="1090">
        <f>M41*L41</f>
        <v/>
      </c>
      <c r="O41" s="28" t="n"/>
      <c r="P41" s="2" t="n"/>
      <c r="Q41" s="1090">
        <f>P41*O41</f>
        <v/>
      </c>
      <c r="R41" s="38" t="n"/>
      <c r="S41" s="1096">
        <f>R41*1000/655.957</f>
        <v/>
      </c>
      <c r="T41" s="32" t="n"/>
      <c r="U41" s="1021">
        <f>T41*1000/655.957</f>
        <v/>
      </c>
      <c r="V41" s="1093">
        <f>Q41+N41+K41+H41+E41</f>
        <v/>
      </c>
      <c r="W41" s="1097">
        <f>V41*1000/655.957</f>
        <v/>
      </c>
      <c r="X41" s="1097" t="n"/>
      <c r="Y41" s="1095">
        <f>X41-V41</f>
        <v/>
      </c>
      <c r="Z41" s="163" t="n"/>
    </row>
    <row r="42" hidden="1">
      <c r="B42" s="151" t="inlineStr">
        <is>
          <t>SMB</t>
        </is>
      </c>
      <c r="C42" s="28" t="n"/>
      <c r="D42" s="2" t="n"/>
      <c r="E42" s="1090">
        <f>D42*C42</f>
        <v/>
      </c>
      <c r="F42" s="28" t="n"/>
      <c r="G42" s="2" t="n"/>
      <c r="H42" s="1090">
        <f>G42*F42</f>
        <v/>
      </c>
      <c r="I42" s="28" t="n"/>
      <c r="J42" s="2" t="n"/>
      <c r="K42" s="1090">
        <f>J42*I42</f>
        <v/>
      </c>
      <c r="L42" s="145" t="n"/>
      <c r="M42" s="2" t="n"/>
      <c r="N42" s="1090">
        <f>M42*L42</f>
        <v/>
      </c>
      <c r="O42" s="28" t="n"/>
      <c r="P42" s="2" t="n"/>
      <c r="Q42" s="1090">
        <f>P42*O42</f>
        <v/>
      </c>
      <c r="R42" s="35" t="n">
        <v>15120</v>
      </c>
      <c r="S42" s="1096">
        <f>R42*1000/655.957</f>
        <v/>
      </c>
      <c r="T42" s="32" t="n">
        <v>23000</v>
      </c>
      <c r="U42" s="1021">
        <f>T42*1000/655.957</f>
        <v/>
      </c>
      <c r="V42" s="1093">
        <f>Q42+N42+K42+H42+E42</f>
        <v/>
      </c>
      <c r="W42" s="1097">
        <f>V42*1000/655.957</f>
        <v/>
      </c>
      <c r="X42" s="1097" t="n"/>
      <c r="Y42" s="1095">
        <f>X42-V42</f>
        <v/>
      </c>
      <c r="Z42" s="163" t="n"/>
    </row>
    <row r="43">
      <c r="B43" s="151" t="inlineStr">
        <is>
          <t>SUBTEC/SIR</t>
        </is>
      </c>
      <c r="C43" s="28" t="n"/>
      <c r="D43" s="2" t="n"/>
      <c r="E43" s="1090">
        <f>D43*C43</f>
        <v/>
      </c>
      <c r="F43" s="36" t="n">
        <v>405</v>
      </c>
      <c r="G43" s="37" t="n"/>
      <c r="H43" s="1090">
        <f>G43*F43</f>
        <v/>
      </c>
      <c r="I43" s="36" t="n">
        <v>1645</v>
      </c>
      <c r="J43" s="37" t="n"/>
      <c r="K43" s="1090">
        <f>J43*I43</f>
        <v/>
      </c>
      <c r="L43" s="146" t="n">
        <v>131</v>
      </c>
      <c r="M43" s="37" t="n"/>
      <c r="N43" s="1090">
        <f>M43*L43</f>
        <v/>
      </c>
      <c r="O43" s="36" t="n">
        <v>45</v>
      </c>
      <c r="P43" s="37" t="n"/>
      <c r="Q43" s="1090">
        <f>P43*O43</f>
        <v/>
      </c>
      <c r="R43" s="35">
        <f>1229+9289</f>
        <v/>
      </c>
      <c r="S43" s="1096">
        <f>R43*1000/655.957</f>
        <v/>
      </c>
      <c r="T43" s="32" t="n">
        <v>12340</v>
      </c>
      <c r="U43" s="1021">
        <f>T43*1000/655.957</f>
        <v/>
      </c>
      <c r="V43" s="1093" t="n">
        <v>763750</v>
      </c>
      <c r="W43" s="1097">
        <f>V43*1000/655.957</f>
        <v/>
      </c>
      <c r="X43" s="1097" t="n">
        <v>763750</v>
      </c>
      <c r="Y43" s="1095">
        <f>X43-V43</f>
        <v/>
      </c>
      <c r="Z43" s="163" t="n"/>
    </row>
    <row r="44">
      <c r="B44" s="151" t="inlineStr">
        <is>
          <t>Super maritime</t>
        </is>
      </c>
      <c r="C44" s="28" t="n"/>
      <c r="D44" s="2" t="n"/>
      <c r="E44" s="1090">
        <f>D44*C44</f>
        <v/>
      </c>
      <c r="F44" s="28" t="n"/>
      <c r="G44" s="2" t="n"/>
      <c r="H44" s="1090">
        <f>G44*F44</f>
        <v/>
      </c>
      <c r="I44" s="28" t="n"/>
      <c r="J44" s="2" t="n"/>
      <c r="K44" s="1090">
        <f>J44*I44</f>
        <v/>
      </c>
      <c r="L44" s="145" t="n"/>
      <c r="M44" s="2" t="n"/>
      <c r="N44" s="1090">
        <f>M44*L44</f>
        <v/>
      </c>
      <c r="O44" s="28" t="n"/>
      <c r="P44" s="2" t="n"/>
      <c r="Q44" s="1090">
        <f>P44*O44</f>
        <v/>
      </c>
      <c r="R44" s="35" t="n">
        <v>394</v>
      </c>
      <c r="S44" s="1096">
        <f>R44*1000/655.957</f>
        <v/>
      </c>
      <c r="T44" s="32" t="n"/>
      <c r="U44" s="1021">
        <f>T44*1000/655.957</f>
        <v/>
      </c>
      <c r="V44" s="1093">
        <f>Q44+N44+K44+H44+E44</f>
        <v/>
      </c>
      <c r="W44" s="1097">
        <f>V44*1000/655.957</f>
        <v/>
      </c>
      <c r="X44" s="1097" t="n"/>
      <c r="Y44" s="1095">
        <f>X44-V44</f>
        <v/>
      </c>
      <c r="Z44" s="163" t="n"/>
    </row>
    <row r="45">
      <c r="B45" s="151" t="inlineStr">
        <is>
          <t>Tetra</t>
        </is>
      </c>
      <c r="C45" s="36" t="n"/>
      <c r="D45" s="37" t="n">
        <v>3200</v>
      </c>
      <c r="E45" s="1090">
        <f>D45*C45</f>
        <v/>
      </c>
      <c r="F45" s="28" t="n">
        <v>0</v>
      </c>
      <c r="G45" s="2" t="n">
        <v>750</v>
      </c>
      <c r="H45" s="1090">
        <f>G45*F45</f>
        <v/>
      </c>
      <c r="I45" s="36" t="n">
        <v>450</v>
      </c>
      <c r="J45" s="37" t="n">
        <v>1500</v>
      </c>
      <c r="K45" s="1090">
        <f>J45*I45</f>
        <v/>
      </c>
      <c r="L45" s="146" t="n">
        <v>16</v>
      </c>
      <c r="M45" s="37" t="n">
        <v>15000</v>
      </c>
      <c r="N45" s="1090">
        <f>M45*L45</f>
        <v/>
      </c>
      <c r="O45" s="28" t="n">
        <v>0</v>
      </c>
      <c r="P45" s="2" t="n">
        <v>1150</v>
      </c>
      <c r="Q45" s="1090">
        <f>P45*O45</f>
        <v/>
      </c>
      <c r="R45" s="38" t="n"/>
      <c r="S45" s="1096">
        <f>R45*1000/655.957</f>
        <v/>
      </c>
      <c r="T45" s="32" t="n">
        <v>16500</v>
      </c>
      <c r="U45" s="1021">
        <f>T45*1000/655.957</f>
        <v/>
      </c>
      <c r="V45" s="1093">
        <f>Q45+N45+K45+H45+E45</f>
        <v/>
      </c>
      <c r="W45" s="1097">
        <f>V45*1000/655.957</f>
        <v/>
      </c>
      <c r="X45" s="1097" t="n">
        <v>3087500</v>
      </c>
      <c r="Y45" s="1095">
        <f>X45-V45</f>
        <v/>
      </c>
      <c r="Z45" s="163" t="n"/>
    </row>
    <row r="46">
      <c r="B46" s="151" t="inlineStr">
        <is>
          <t>Total E&amp; P</t>
        </is>
      </c>
      <c r="C46" s="36" t="n">
        <v>200</v>
      </c>
      <c r="D46" s="37" t="n">
        <v>3000</v>
      </c>
      <c r="E46" s="1090">
        <f>D46*C46</f>
        <v/>
      </c>
      <c r="F46" s="36" t="n">
        <v>3000</v>
      </c>
      <c r="G46" s="37" t="n">
        <v>1500</v>
      </c>
      <c r="H46" s="1090">
        <f>G46*F46</f>
        <v/>
      </c>
      <c r="I46" s="36" t="n">
        <v>2500</v>
      </c>
      <c r="J46" s="37" t="n">
        <v>1500</v>
      </c>
      <c r="K46" s="1090">
        <f>J46*I46</f>
        <v/>
      </c>
      <c r="L46" s="146">
        <f>169+23</f>
        <v/>
      </c>
      <c r="M46" s="37" t="n">
        <v>14000</v>
      </c>
      <c r="N46" s="1090">
        <f>M46*L46</f>
        <v/>
      </c>
      <c r="O46" s="28" t="n"/>
      <c r="P46" s="2" t="n"/>
      <c r="Q46" s="1090">
        <f>P46*O46</f>
        <v/>
      </c>
      <c r="R46" s="38" t="n"/>
      <c r="S46" s="1096">
        <f>R46*1000/655.957</f>
        <v/>
      </c>
      <c r="T46" s="32" t="n">
        <v>137000</v>
      </c>
      <c r="U46" s="1021">
        <f>T46*1000/655.957</f>
        <v/>
      </c>
      <c r="V46" s="1093">
        <f>Q46+N46+K46+H46+E46</f>
        <v/>
      </c>
      <c r="W46" s="1097">
        <f>V46*1000/655.957</f>
        <v/>
      </c>
      <c r="X46" s="1097" t="n">
        <v>17090000</v>
      </c>
      <c r="Y46" s="1095">
        <f>X46-V46</f>
        <v/>
      </c>
      <c r="Z46" s="163" t="n"/>
    </row>
    <row r="47">
      <c r="B47" s="151" t="inlineStr">
        <is>
          <t>Transocean</t>
        </is>
      </c>
      <c r="C47" s="28" t="n"/>
      <c r="D47" s="2" t="n"/>
      <c r="E47" s="1090">
        <f>D47*C47</f>
        <v/>
      </c>
      <c r="F47" s="28" t="n"/>
      <c r="G47" s="2" t="n"/>
      <c r="H47" s="1090">
        <f>G47*F47</f>
        <v/>
      </c>
      <c r="I47" s="28" t="n"/>
      <c r="J47" s="2" t="n"/>
      <c r="K47" s="1090">
        <f>J47*I47</f>
        <v/>
      </c>
      <c r="L47" s="145" t="n"/>
      <c r="M47" s="2" t="n"/>
      <c r="N47" s="1090">
        <f>M47*L47</f>
        <v/>
      </c>
      <c r="O47" s="28" t="n"/>
      <c r="P47" s="2" t="n"/>
      <c r="Q47" s="1090">
        <f>P47*O47</f>
        <v/>
      </c>
      <c r="R47" s="35" t="n">
        <v>1531</v>
      </c>
      <c r="S47" s="1096">
        <f>R47*1000/655.957</f>
        <v/>
      </c>
      <c r="T47" s="32" t="n">
        <v>6600</v>
      </c>
      <c r="U47" s="1021">
        <f>T47*1000/655.957</f>
        <v/>
      </c>
      <c r="V47" s="1093">
        <f>Q47+N47+K47+H47+E47</f>
        <v/>
      </c>
      <c r="W47" s="1097">
        <f>V47*1000/655.957</f>
        <v/>
      </c>
      <c r="X47" s="1097" t="n"/>
      <c r="Y47" s="1095">
        <f>X47-V47</f>
        <v/>
      </c>
      <c r="Z47" s="163" t="n"/>
    </row>
    <row r="48">
      <c r="B48" s="151" t="inlineStr">
        <is>
          <t>Tullow Oil</t>
        </is>
      </c>
      <c r="C48" s="36" t="n"/>
      <c r="D48" s="37" t="n"/>
      <c r="E48" s="1090">
        <f>D48*C48</f>
        <v/>
      </c>
      <c r="F48" s="36" t="n"/>
      <c r="G48" s="37" t="n"/>
      <c r="H48" s="1090">
        <f>G48*F48</f>
        <v/>
      </c>
      <c r="I48" s="36" t="n">
        <v>4243</v>
      </c>
      <c r="J48" s="37" t="n">
        <v>3017</v>
      </c>
      <c r="K48" s="1090">
        <f>J48*I48</f>
        <v/>
      </c>
      <c r="L48" s="146" t="n"/>
      <c r="M48" s="37" t="n"/>
      <c r="N48" s="1090">
        <f>M48*L48</f>
        <v/>
      </c>
      <c r="O48" s="28" t="n"/>
      <c r="P48" s="2" t="n"/>
      <c r="Q48" s="1090">
        <f>P48*O48</f>
        <v/>
      </c>
      <c r="R48" s="35" t="n"/>
      <c r="S48" s="1096" t="n"/>
      <c r="T48" s="32" t="n"/>
      <c r="U48" s="1021" t="n"/>
      <c r="V48" s="1093">
        <f>Q48+N48+K48+H48+E48</f>
        <v/>
      </c>
      <c r="W48" s="1097" t="n"/>
      <c r="X48" s="1097" t="n">
        <v>25828309</v>
      </c>
      <c r="Y48" s="1095">
        <f>X48-V48</f>
        <v/>
      </c>
      <c r="Z48" s="163" t="n"/>
    </row>
    <row r="49">
      <c r="B49" s="151" t="inlineStr">
        <is>
          <t>Vantage</t>
        </is>
      </c>
      <c r="C49" s="28" t="n"/>
      <c r="D49" s="2" t="n"/>
      <c r="E49" s="1090">
        <f>D49*C49</f>
        <v/>
      </c>
      <c r="F49" s="28" t="n"/>
      <c r="G49" s="2" t="n"/>
      <c r="H49" s="1090">
        <f>G49*F49</f>
        <v/>
      </c>
      <c r="I49" s="36" t="n"/>
      <c r="J49" s="37" t="n"/>
      <c r="K49" s="1090">
        <f>J49*I49</f>
        <v/>
      </c>
      <c r="L49" s="145" t="n"/>
      <c r="M49" s="2" t="n"/>
      <c r="N49" s="1090">
        <f>M49*L49</f>
        <v/>
      </c>
      <c r="O49" s="28" t="n"/>
      <c r="P49" s="2" t="n"/>
      <c r="Q49" s="1090">
        <f>P49*O49</f>
        <v/>
      </c>
      <c r="R49" s="38" t="n"/>
      <c r="S49" s="1096">
        <f>R49*1000/655.957</f>
        <v/>
      </c>
      <c r="T49" s="32" t="n"/>
      <c r="U49" s="1021">
        <f>T49*1000/655.957</f>
        <v/>
      </c>
      <c r="V49" s="1093">
        <f>Q49+N49+K49+H49+E49</f>
        <v/>
      </c>
      <c r="W49" s="1097">
        <f>V49*1000/655.957</f>
        <v/>
      </c>
      <c r="X49" s="1097" t="n"/>
      <c r="Y49" s="1095">
        <f>X49-V49</f>
        <v/>
      </c>
      <c r="Z49" s="163" t="n"/>
    </row>
    <row r="50">
      <c r="B50" s="151" t="inlineStr">
        <is>
          <t>Weatherford</t>
        </is>
      </c>
      <c r="C50" s="215" t="n">
        <v>1300</v>
      </c>
      <c r="D50" s="216" t="n">
        <v>5000</v>
      </c>
      <c r="E50" s="1102">
        <f>D50*C50</f>
        <v/>
      </c>
      <c r="F50" s="213" t="n"/>
      <c r="G50" s="214" t="n"/>
      <c r="H50" s="1098">
        <f>G50*F50</f>
        <v/>
      </c>
      <c r="I50" s="213" t="n"/>
      <c r="J50" s="214" t="n"/>
      <c r="K50" s="1098">
        <f>J50*I50</f>
        <v/>
      </c>
      <c r="L50" s="207" t="n">
        <v>119</v>
      </c>
      <c r="M50" s="205" t="n">
        <v>24000</v>
      </c>
      <c r="N50" s="1098">
        <f>M50*L50</f>
        <v/>
      </c>
      <c r="O50" s="28" t="n"/>
      <c r="P50" s="2" t="n"/>
      <c r="Q50" s="1090">
        <f>P50*O50</f>
        <v/>
      </c>
      <c r="R50" s="35" t="n">
        <v>220</v>
      </c>
      <c r="S50" s="1096">
        <f>R50*1000/655.957</f>
        <v/>
      </c>
      <c r="T50" s="32" t="n"/>
      <c r="U50" s="1021">
        <f>T50*1000/655.957</f>
        <v/>
      </c>
      <c r="V50" s="1093">
        <f>Q50+N50+K50+H50+E50</f>
        <v/>
      </c>
      <c r="W50" s="1097">
        <f>V50*1000/655.957</f>
        <v/>
      </c>
      <c r="X50" s="1097" t="n"/>
      <c r="Y50" s="1095">
        <f>X50-V50</f>
        <v/>
      </c>
      <c r="Z50" s="163" t="n"/>
    </row>
    <row r="51" ht="15" customHeight="1" thickBot="1">
      <c r="B51" s="152" t="inlineStr">
        <is>
          <t>welltec</t>
        </is>
      </c>
      <c r="C51" s="40" t="n">
        <v>400</v>
      </c>
      <c r="D51" s="41" t="n"/>
      <c r="E51" s="1090">
        <f>D51*C51</f>
        <v/>
      </c>
      <c r="F51" s="40" t="n"/>
      <c r="G51" s="41" t="n"/>
      <c r="H51" s="1090">
        <f>G51*F51</f>
        <v/>
      </c>
      <c r="I51" s="40" t="n"/>
      <c r="J51" s="41" t="n"/>
      <c r="K51" s="1090">
        <f>J51*I51</f>
        <v/>
      </c>
      <c r="L51" s="147" t="n"/>
      <c r="M51" s="41" t="n"/>
      <c r="N51" s="1090">
        <f>M51*L51</f>
        <v/>
      </c>
      <c r="O51" s="40" t="n"/>
      <c r="P51" s="41" t="n"/>
      <c r="Q51" s="1090">
        <f>P51*O51</f>
        <v/>
      </c>
      <c r="R51" s="42" t="n"/>
      <c r="S51" s="1103">
        <f>R51*1000/655.957</f>
        <v/>
      </c>
      <c r="T51" s="44" t="n">
        <v>1300</v>
      </c>
      <c r="U51" s="1032">
        <f>T51*1000/655.957</f>
        <v/>
      </c>
      <c r="V51" s="1093">
        <f>Q51+N51+K51+H51+E51</f>
        <v/>
      </c>
      <c r="W51" s="1104">
        <f>V51*1000/655.957</f>
        <v/>
      </c>
      <c r="X51" s="1104" t="n"/>
      <c r="Y51" s="1095">
        <f>X51-V51</f>
        <v/>
      </c>
      <c r="Z51" s="165" t="n"/>
    </row>
    <row r="52" ht="16" customHeight="1" thickBot="1">
      <c r="B52" s="153" t="inlineStr">
        <is>
          <t>TOTAL</t>
        </is>
      </c>
      <c r="C52" s="47">
        <f>SUM(C7:C51)</f>
        <v/>
      </c>
      <c r="D52" s="48" t="n"/>
      <c r="E52" s="159" t="n"/>
      <c r="F52" s="47">
        <f>SUM(F7:F51)</f>
        <v/>
      </c>
      <c r="G52" s="48" t="n"/>
      <c r="H52" s="159" t="n"/>
      <c r="I52" s="47">
        <f>SUM(I7:I51)</f>
        <v/>
      </c>
      <c r="J52" s="48" t="n"/>
      <c r="K52" s="159" t="n"/>
      <c r="L52" s="148">
        <f>SUM(L7:L51)</f>
        <v/>
      </c>
      <c r="M52" s="48" t="n"/>
      <c r="N52" s="160" t="n"/>
      <c r="O52" s="47">
        <f>SUM(O7:O51)</f>
        <v/>
      </c>
      <c r="P52" s="48" t="n"/>
      <c r="Q52" s="159" t="n"/>
      <c r="R52" s="49">
        <f>SUM(R7:R51)</f>
        <v/>
      </c>
      <c r="S52" s="1105">
        <f>SUM(S7:S51)</f>
        <v/>
      </c>
      <c r="T52" s="1106">
        <f>SUM(T7:T51)</f>
        <v/>
      </c>
      <c r="U52" s="1106">
        <f>SUM(U7:U51)</f>
        <v/>
      </c>
      <c r="V52" s="1107">
        <f>SUM(V7:V51)</f>
        <v/>
      </c>
      <c r="W52" s="1108">
        <f>SUM(W7:W51)</f>
        <v/>
      </c>
      <c r="X52" s="1108" t="n"/>
      <c r="Y52" s="1109" t="n"/>
    </row>
    <row r="53" ht="15" customHeight="1" thickBot="1"/>
    <row r="54" ht="15" customHeight="1" thickBot="1">
      <c r="B54" s="174" t="inlineStr">
        <is>
          <t>Type Surface</t>
        </is>
      </c>
      <c r="C54" s="175" t="inlineStr">
        <is>
          <t>(Prix moyen)FCFA</t>
        </is>
      </c>
      <c r="D54" s="175" t="inlineStr">
        <is>
          <t>Surface Occupée(m²)</t>
        </is>
      </c>
    </row>
    <row r="55">
      <c r="B55" s="172" t="inlineStr">
        <is>
          <t>Warehousing</t>
        </is>
      </c>
      <c r="C55" s="1110">
        <f>AVERAGE(D7:D51)</f>
        <v/>
      </c>
      <c r="D55" s="1110">
        <f>C52</f>
        <v/>
      </c>
    </row>
    <row r="56">
      <c r="B56" s="168" t="inlineStr">
        <is>
          <t>Concrete Yard</t>
        </is>
      </c>
      <c r="C56" s="1111">
        <f>AVERAGE(J7:J51)</f>
        <v/>
      </c>
      <c r="D56" s="1111">
        <f>I52</f>
        <v/>
      </c>
    </row>
    <row r="57">
      <c r="B57" s="168" t="inlineStr">
        <is>
          <t>Clay Yard</t>
        </is>
      </c>
      <c r="C57" s="1111">
        <f>AVERAGE(G7:G51)</f>
        <v/>
      </c>
      <c r="D57" s="1111">
        <f>F52</f>
        <v/>
      </c>
    </row>
    <row r="58">
      <c r="B58" s="168" t="inlineStr">
        <is>
          <t>Offices</t>
        </is>
      </c>
      <c r="C58" s="1111">
        <f>AVERAGE(M7:M51)</f>
        <v/>
      </c>
      <c r="D58" s="1111">
        <f>L52</f>
        <v/>
      </c>
    </row>
    <row r="59" ht="15" customHeight="1" thickBot="1">
      <c r="B59" s="170" t="inlineStr">
        <is>
          <t>Shed</t>
        </is>
      </c>
      <c r="C59" s="1112">
        <f>AVERAGE(P7:P51)</f>
        <v/>
      </c>
      <c r="D59" s="1112">
        <f>O52</f>
        <v/>
      </c>
    </row>
    <row r="60" ht="15" customHeight="1" thickBot="1">
      <c r="D60" s="1113">
        <f>SUM(D55:D59)</f>
        <v/>
      </c>
    </row>
  </sheetData>
  <mergeCells count="8">
    <mergeCell ref="C3:Z3"/>
    <mergeCell ref="O5:Q5"/>
    <mergeCell ref="F5:H5"/>
    <mergeCell ref="C5:E5"/>
    <mergeCell ref="S4:Y4"/>
    <mergeCell ref="I5:K5"/>
    <mergeCell ref="L5:N5"/>
    <mergeCell ref="C4:Q4"/>
  </mergeCells>
  <pageMargins left="0.7" right="0.7" top="0.75" bottom="0.75" header="0.3" footer="0.3"/>
  <pageSetup orientation="landscape" paperSize="8" scale="38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35"/>
  <sheetViews>
    <sheetView showGridLines="0" zoomScale="62" zoomScaleNormal="62" workbookViewId="0">
      <selection activeCell="D39" sqref="D39"/>
    </sheetView>
  </sheetViews>
  <sheetFormatPr baseColWidth="10" defaultRowHeight="15.5"/>
  <cols>
    <col width="84.7265625" bestFit="1" customWidth="1" min="1" max="1"/>
    <col width="17.7265625" bestFit="1" customWidth="1" style="469" min="2" max="2"/>
    <col width="17.7265625" customWidth="1" style="469" min="3" max="4"/>
    <col width="17.7265625" bestFit="1" customWidth="1" style="469" min="5" max="5"/>
    <col width="17.7265625" customWidth="1" style="469" min="6" max="7"/>
    <col width="17.7265625" bestFit="1" customWidth="1" style="469" min="8" max="8"/>
    <col width="17.7265625" customWidth="1" style="469" min="9" max="10"/>
    <col width="17.7265625" bestFit="1" customWidth="1" style="469" min="11" max="11"/>
    <col width="17.7265625" customWidth="1" style="469" min="12" max="13"/>
    <col width="17.7265625" bestFit="1" customWidth="1" style="469" min="14" max="14"/>
    <col width="17.7265625" customWidth="1" style="469" min="15" max="16"/>
    <col width="17.7265625" bestFit="1" customWidth="1" style="469" min="17" max="17"/>
    <col width="17.7265625" customWidth="1" style="469" min="18" max="19"/>
    <col width="17.7265625" bestFit="1" customWidth="1" style="469" min="20" max="20"/>
    <col width="17.7265625" customWidth="1" style="469" min="21" max="22"/>
    <col width="17.7265625" bestFit="1" customWidth="1" style="469" min="23" max="23"/>
    <col width="17.7265625" customWidth="1" style="469" min="24" max="25"/>
    <col width="17.7265625" bestFit="1" customWidth="1" style="469" min="26" max="26"/>
    <col width="17.7265625" customWidth="1" style="469" min="27" max="28"/>
    <col width="17.7265625" bestFit="1" customWidth="1" style="469" min="29" max="29"/>
    <col width="17.7265625" customWidth="1" style="469" min="30" max="31"/>
    <col width="17.7265625" bestFit="1" customWidth="1" style="469" min="32" max="32"/>
    <col width="17.7265625" customWidth="1" style="469" min="33" max="34"/>
    <col width="17.7265625" bestFit="1" customWidth="1" style="469" min="35" max="35"/>
    <col width="17.7265625" customWidth="1" style="469" min="36" max="37"/>
    <col width="21.1796875" bestFit="1" customWidth="1" style="469" min="38" max="38"/>
    <col width="17.7265625" customWidth="1" style="469" min="39" max="39"/>
    <col width="21.26953125" bestFit="1" customWidth="1" style="469" min="40" max="40"/>
  </cols>
  <sheetData>
    <row r="1" ht="16" customHeight="1" thickBot="1">
      <c r="A1" t="inlineStr">
        <is>
          <t>KCFA</t>
        </is>
      </c>
    </row>
    <row r="2" ht="23.5" customHeight="1">
      <c r="B2" s="1114" t="inlineStr">
        <is>
          <t>Janvier</t>
        </is>
      </c>
      <c r="C2" s="1115" t="n"/>
      <c r="D2" s="1116" t="n"/>
      <c r="E2" s="1114" t="inlineStr">
        <is>
          <t>Février</t>
        </is>
      </c>
      <c r="F2" s="1115" t="n"/>
      <c r="G2" s="1116" t="n"/>
      <c r="H2" s="1114" t="inlineStr">
        <is>
          <t>Mars</t>
        </is>
      </c>
      <c r="I2" s="1115" t="n"/>
      <c r="J2" s="1116" t="n"/>
      <c r="K2" s="1114" t="inlineStr">
        <is>
          <t>Avril</t>
        </is>
      </c>
      <c r="L2" s="1115" t="n"/>
      <c r="M2" s="1116" t="n"/>
      <c r="N2" s="1114" t="inlineStr">
        <is>
          <t>Mai</t>
        </is>
      </c>
      <c r="O2" s="1115" t="n"/>
      <c r="P2" s="1116" t="n"/>
      <c r="Q2" s="1114" t="inlineStr">
        <is>
          <t>Juin</t>
        </is>
      </c>
      <c r="R2" s="1115" t="n"/>
      <c r="S2" s="1116" t="n"/>
      <c r="T2" s="1114" t="inlineStr">
        <is>
          <t>Juillet</t>
        </is>
      </c>
      <c r="U2" s="1115" t="n"/>
      <c r="V2" s="1116" t="n"/>
      <c r="W2" s="1114" t="inlineStr">
        <is>
          <t>Août</t>
        </is>
      </c>
      <c r="X2" s="1115" t="n"/>
      <c r="Y2" s="1116" t="n"/>
      <c r="Z2" s="1114" t="inlineStr">
        <is>
          <t>Septembre</t>
        </is>
      </c>
      <c r="AA2" s="1115" t="n"/>
      <c r="AB2" s="1116" t="n"/>
      <c r="AC2" s="1114" t="inlineStr">
        <is>
          <t>Octobre</t>
        </is>
      </c>
      <c r="AD2" s="1115" t="n"/>
      <c r="AE2" s="1116" t="n"/>
      <c r="AF2" s="1114" t="inlineStr">
        <is>
          <t>Novembre</t>
        </is>
      </c>
      <c r="AG2" s="1115" t="n"/>
      <c r="AH2" s="1116" t="n"/>
      <c r="AI2" s="1114" t="inlineStr">
        <is>
          <t>Décembre</t>
        </is>
      </c>
      <c r="AJ2" s="1115" t="n"/>
      <c r="AK2" s="1116" t="n"/>
      <c r="AL2" s="1114" t="inlineStr">
        <is>
          <t>Fin décembre</t>
        </is>
      </c>
      <c r="AM2" s="1115" t="n"/>
      <c r="AN2" s="1116" t="n"/>
    </row>
    <row r="3" ht="23.5" customHeight="1">
      <c r="B3" s="478" t="inlineStr">
        <is>
          <t>Prévu</t>
        </is>
      </c>
      <c r="C3" s="470" t="inlineStr">
        <is>
          <t>Réel</t>
        </is>
      </c>
      <c r="D3" s="479" t="inlineStr">
        <is>
          <t>Variation</t>
        </is>
      </c>
      <c r="E3" s="478" t="inlineStr">
        <is>
          <t>Prévu</t>
        </is>
      </c>
      <c r="F3" s="470" t="inlineStr">
        <is>
          <t>Réel</t>
        </is>
      </c>
      <c r="G3" s="479" t="inlineStr">
        <is>
          <t>Variation</t>
        </is>
      </c>
      <c r="H3" s="478" t="inlineStr">
        <is>
          <t>Prévu</t>
        </is>
      </c>
      <c r="I3" s="470" t="inlineStr">
        <is>
          <t>Réel</t>
        </is>
      </c>
      <c r="J3" s="479" t="inlineStr">
        <is>
          <t>Variation</t>
        </is>
      </c>
      <c r="K3" s="478" t="inlineStr">
        <is>
          <t>Prévu</t>
        </is>
      </c>
      <c r="L3" s="470" t="inlineStr">
        <is>
          <t>Réel</t>
        </is>
      </c>
      <c r="M3" s="479" t="inlineStr">
        <is>
          <t>Variation</t>
        </is>
      </c>
      <c r="N3" s="478" t="inlineStr">
        <is>
          <t>Prévu</t>
        </is>
      </c>
      <c r="O3" s="470" t="inlineStr">
        <is>
          <t>Réel</t>
        </is>
      </c>
      <c r="P3" s="479" t="inlineStr">
        <is>
          <t>Variation</t>
        </is>
      </c>
      <c r="Q3" s="478" t="inlineStr">
        <is>
          <t>Prévu</t>
        </is>
      </c>
      <c r="R3" s="470" t="inlineStr">
        <is>
          <t>Réel</t>
        </is>
      </c>
      <c r="S3" s="479" t="inlineStr">
        <is>
          <t>Variation</t>
        </is>
      </c>
      <c r="T3" s="478" t="inlineStr">
        <is>
          <t>Prévu</t>
        </is>
      </c>
      <c r="U3" s="470" t="inlineStr">
        <is>
          <t>Réel</t>
        </is>
      </c>
      <c r="V3" s="479" t="inlineStr">
        <is>
          <t>Variation</t>
        </is>
      </c>
      <c r="W3" s="478" t="inlineStr">
        <is>
          <t>Prévu</t>
        </is>
      </c>
      <c r="X3" s="470" t="inlineStr">
        <is>
          <t>Réel</t>
        </is>
      </c>
      <c r="Y3" s="479" t="inlineStr">
        <is>
          <t>Variation</t>
        </is>
      </c>
      <c r="Z3" s="478" t="inlineStr">
        <is>
          <t>Prévu</t>
        </is>
      </c>
      <c r="AA3" s="470" t="inlineStr">
        <is>
          <t>Réel</t>
        </is>
      </c>
      <c r="AB3" s="479" t="inlineStr">
        <is>
          <t>Variation</t>
        </is>
      </c>
      <c r="AC3" s="478" t="inlineStr">
        <is>
          <t>Prévu</t>
        </is>
      </c>
      <c r="AD3" s="470" t="inlineStr">
        <is>
          <t>Réel</t>
        </is>
      </c>
      <c r="AE3" s="479" t="inlineStr">
        <is>
          <t>Variation</t>
        </is>
      </c>
      <c r="AF3" s="478" t="inlineStr">
        <is>
          <t>Prévu</t>
        </is>
      </c>
      <c r="AG3" s="470" t="inlineStr">
        <is>
          <t>Réel</t>
        </is>
      </c>
      <c r="AH3" s="479" t="inlineStr">
        <is>
          <t>Variation</t>
        </is>
      </c>
      <c r="AI3" s="478" t="inlineStr">
        <is>
          <t>Prévu</t>
        </is>
      </c>
      <c r="AJ3" s="470" t="inlineStr">
        <is>
          <t>Réel</t>
        </is>
      </c>
      <c r="AK3" s="479" t="inlineStr">
        <is>
          <t>Variation</t>
        </is>
      </c>
      <c r="AL3" s="478" t="inlineStr">
        <is>
          <t>Prévu</t>
        </is>
      </c>
      <c r="AM3" s="470" t="inlineStr">
        <is>
          <t>Réel</t>
        </is>
      </c>
      <c r="AN3" s="479" t="inlineStr">
        <is>
          <t>Variation</t>
        </is>
      </c>
    </row>
    <row r="4" ht="21" customHeight="1">
      <c r="A4" s="474" t="inlineStr">
        <is>
          <t>CAP NET (+)</t>
        </is>
      </c>
      <c r="B4" s="1117" t="n">
        <v>383001.25657152</v>
      </c>
      <c r="C4" s="1118" t="n"/>
      <c r="D4" s="1119" t="n"/>
      <c r="E4" s="1117" t="n">
        <v>423324.1012799999</v>
      </c>
      <c r="F4" s="1118" t="n"/>
      <c r="G4" s="1119" t="n"/>
      <c r="H4" s="1117" t="n">
        <v>370041.76505088</v>
      </c>
      <c r="I4" s="1118" t="n"/>
      <c r="J4" s="1119" t="n"/>
      <c r="K4" s="1117" t="n">
        <v>410287.59947904</v>
      </c>
      <c r="L4" s="1118" t="n"/>
      <c r="M4" s="1119" t="n"/>
      <c r="N4" s="1117" t="n">
        <v>366429.88992768</v>
      </c>
      <c r="O4" s="1118" t="n"/>
      <c r="P4" s="1119" t="n"/>
      <c r="Q4" s="1117" t="n">
        <v>347047.59306624</v>
      </c>
      <c r="R4" s="1118" t="n"/>
      <c r="S4" s="1119" t="n"/>
      <c r="T4" s="1117" t="n">
        <v>412800.48601536</v>
      </c>
      <c r="U4" s="1118" t="n"/>
      <c r="V4" s="1119" t="n"/>
      <c r="W4" s="1117" t="n">
        <v>368163.66596736</v>
      </c>
      <c r="X4" s="1118" t="n"/>
      <c r="Y4" s="1119" t="n"/>
      <c r="Z4" s="1117" t="n">
        <v>344917.98838464</v>
      </c>
      <c r="AA4" s="1118" t="n"/>
      <c r="AB4" s="1119" t="n"/>
      <c r="AC4" s="1117" t="n">
        <v>357441.10164672</v>
      </c>
      <c r="AD4" s="1118" t="n"/>
      <c r="AE4" s="1119" t="n"/>
      <c r="AF4" s="1117" t="n">
        <v>474908.08239936</v>
      </c>
      <c r="AG4" s="1118" t="n"/>
      <c r="AH4" s="1119" t="n"/>
      <c r="AI4" s="1117" t="n">
        <v>421438.1342111998</v>
      </c>
      <c r="AJ4" s="1118" t="n"/>
      <c r="AK4" s="1119" t="n"/>
      <c r="AL4" s="1117" t="n">
        <v>4679801.664</v>
      </c>
      <c r="AM4" s="1118" t="n"/>
      <c r="AN4" s="1119" t="n"/>
    </row>
    <row r="5" ht="21" customHeight="1">
      <c r="A5" s="475" t="inlineStr">
        <is>
          <t>Salaires &amp; charges de personnel (-)</t>
        </is>
      </c>
      <c r="B5" s="1120" t="n">
        <v>-30458.854536576</v>
      </c>
      <c r="C5" s="1121" t="n"/>
      <c r="D5" s="1122" t="n"/>
      <c r="E5" s="1120" t="n">
        <v>-30458.854536576</v>
      </c>
      <c r="F5" s="1121" t="n"/>
      <c r="G5" s="1122" t="n"/>
      <c r="H5" s="1120" t="n">
        <v>-30458.854536576</v>
      </c>
      <c r="I5" s="1121" t="n"/>
      <c r="J5" s="1122" t="n"/>
      <c r="K5" s="1120" t="n">
        <v>-30458.854536576</v>
      </c>
      <c r="L5" s="1121" t="n"/>
      <c r="M5" s="1122" t="n"/>
      <c r="N5" s="1120" t="n">
        <v>-30458.854536576</v>
      </c>
      <c r="O5" s="1121" t="n"/>
      <c r="P5" s="1122" t="n"/>
      <c r="Q5" s="1120" t="n">
        <v>-30458.854536576</v>
      </c>
      <c r="R5" s="1121" t="n"/>
      <c r="S5" s="1122" t="n"/>
      <c r="T5" s="1120" t="n">
        <v>-30458.854536576</v>
      </c>
      <c r="U5" s="1121" t="n"/>
      <c r="V5" s="1122" t="n"/>
      <c r="W5" s="1120" t="n">
        <v>-30458.854536576</v>
      </c>
      <c r="X5" s="1121" t="n"/>
      <c r="Y5" s="1122" t="n"/>
      <c r="Z5" s="1120" t="n">
        <v>-30458.854536576</v>
      </c>
      <c r="AA5" s="1121" t="n"/>
      <c r="AB5" s="1122" t="n"/>
      <c r="AC5" s="1120" t="n">
        <v>-30458.854536576</v>
      </c>
      <c r="AD5" s="1121" t="n"/>
      <c r="AE5" s="1122" t="n"/>
      <c r="AF5" s="1120" t="n">
        <v>-30458.854536576</v>
      </c>
      <c r="AG5" s="1121" t="n"/>
      <c r="AH5" s="1122" t="n"/>
      <c r="AI5" s="1120" t="n">
        <v>-30459.00649766404</v>
      </c>
      <c r="AJ5" s="1121" t="n"/>
      <c r="AK5" s="1122" t="n"/>
      <c r="AL5" s="1120" t="n">
        <v>-365506.4064</v>
      </c>
      <c r="AM5" s="1121" t="n"/>
      <c r="AN5" s="1122" t="n"/>
    </row>
    <row r="6" ht="21" customHeight="1">
      <c r="A6" s="475" t="inlineStr">
        <is>
          <t>Frais de personnel temporaire (-)</t>
        </is>
      </c>
      <c r="B6" s="1120" t="n">
        <v>-28759.29073632</v>
      </c>
      <c r="C6" s="1121" t="n"/>
      <c r="D6" s="1122" t="n"/>
      <c r="E6" s="1120" t="n">
        <v>-28759.29073632</v>
      </c>
      <c r="F6" s="1121" t="n"/>
      <c r="G6" s="1122" t="n"/>
      <c r="H6" s="1120" t="n">
        <v>-28759.29073632</v>
      </c>
      <c r="I6" s="1121" t="n"/>
      <c r="J6" s="1122" t="n"/>
      <c r="K6" s="1120" t="n">
        <v>-28759.29073632</v>
      </c>
      <c r="L6" s="1121" t="n"/>
      <c r="M6" s="1122" t="n"/>
      <c r="N6" s="1120" t="n">
        <v>-28759.29073632</v>
      </c>
      <c r="O6" s="1121" t="n"/>
      <c r="P6" s="1122" t="n"/>
      <c r="Q6" s="1120" t="n">
        <v>-28759.29073632</v>
      </c>
      <c r="R6" s="1121" t="n"/>
      <c r="S6" s="1122" t="n"/>
      <c r="T6" s="1120" t="n">
        <v>-28759.29073632</v>
      </c>
      <c r="U6" s="1121" t="n"/>
      <c r="V6" s="1122" t="n"/>
      <c r="W6" s="1120" t="n">
        <v>-28759.29073632</v>
      </c>
      <c r="X6" s="1121" t="n"/>
      <c r="Y6" s="1122" t="n"/>
      <c r="Z6" s="1120" t="n">
        <v>-28759.29073632</v>
      </c>
      <c r="AA6" s="1121" t="n"/>
      <c r="AB6" s="1122" t="n"/>
      <c r="AC6" s="1120" t="n">
        <v>-28759.29073632</v>
      </c>
      <c r="AD6" s="1121" t="n"/>
      <c r="AE6" s="1122" t="n"/>
      <c r="AF6" s="1120" t="n">
        <v>-28759.29073632</v>
      </c>
      <c r="AG6" s="1121" t="n"/>
      <c r="AH6" s="1122" t="n"/>
      <c r="AI6" s="1120" t="n">
        <v>-28759.43070048004</v>
      </c>
      <c r="AJ6" s="1121" t="n"/>
      <c r="AK6" s="1122" t="n"/>
      <c r="AL6" s="1120" t="n">
        <v>-345111.6288</v>
      </c>
      <c r="AM6" s="1121" t="n"/>
      <c r="AN6" s="1122" t="n"/>
    </row>
    <row r="7" ht="21" customHeight="1">
      <c r="A7" s="475" t="inlineStr">
        <is>
          <t>Dotations nettes aux amortissements (+/-)</t>
        </is>
      </c>
      <c r="B7" s="1120" t="n">
        <v>-18286.979334528</v>
      </c>
      <c r="C7" s="1121" t="n"/>
      <c r="D7" s="1122" t="n"/>
      <c r="E7" s="1120" t="n">
        <v>-18286.979334528</v>
      </c>
      <c r="F7" s="1121" t="n"/>
      <c r="G7" s="1122" t="n"/>
      <c r="H7" s="1120" t="n">
        <v>-18286.979334528</v>
      </c>
      <c r="I7" s="1121" t="n"/>
      <c r="J7" s="1122" t="n"/>
      <c r="K7" s="1120" t="n">
        <v>-18286.979334528</v>
      </c>
      <c r="L7" s="1121" t="n"/>
      <c r="M7" s="1122" t="n"/>
      <c r="N7" s="1120" t="n">
        <v>-18286.979334528</v>
      </c>
      <c r="O7" s="1121" t="n"/>
      <c r="P7" s="1122" t="n"/>
      <c r="Q7" s="1120" t="n">
        <v>-18286.979334528</v>
      </c>
      <c r="R7" s="1121" t="n"/>
      <c r="S7" s="1122" t="n"/>
      <c r="T7" s="1120" t="n">
        <v>-18286.979334528</v>
      </c>
      <c r="U7" s="1121" t="n"/>
      <c r="V7" s="1122" t="n"/>
      <c r="W7" s="1120" t="n">
        <v>-18286.979334528</v>
      </c>
      <c r="X7" s="1121" t="n"/>
      <c r="Y7" s="1122" t="n"/>
      <c r="Z7" s="1120" t="n">
        <v>-18286.979334528</v>
      </c>
      <c r="AA7" s="1121" t="n"/>
      <c r="AB7" s="1122" t="n"/>
      <c r="AC7" s="1120" t="n">
        <v>-18286.979334528</v>
      </c>
      <c r="AD7" s="1121" t="n"/>
      <c r="AE7" s="1122" t="n"/>
      <c r="AF7" s="1120" t="n">
        <v>-18286.979334528</v>
      </c>
      <c r="AG7" s="1121" t="n"/>
      <c r="AH7" s="1122" t="n"/>
      <c r="AI7" s="1120" t="n">
        <v>-18287.03532019196</v>
      </c>
      <c r="AJ7" s="1121" t="n"/>
      <c r="AK7" s="1122" t="n"/>
      <c r="AL7" s="1120" t="n">
        <v>-219443.808</v>
      </c>
      <c r="AM7" s="1121" t="n"/>
      <c r="AN7" s="1122" t="n"/>
    </row>
    <row r="8" ht="21" customHeight="1">
      <c r="A8" s="475" t="inlineStr">
        <is>
          <t>Frais postaux et télécommunications (-)</t>
        </is>
      </c>
      <c r="B8" s="1120" t="n">
        <v>-1807.870066752</v>
      </c>
      <c r="C8" s="1121" t="n"/>
      <c r="D8" s="1122" t="n"/>
      <c r="E8" s="1120" t="n">
        <v>-1807.870066752</v>
      </c>
      <c r="F8" s="1121" t="n"/>
      <c r="G8" s="1122" t="n"/>
      <c r="H8" s="1120" t="n">
        <v>-1807.870066752</v>
      </c>
      <c r="I8" s="1121" t="n"/>
      <c r="J8" s="1122" t="n"/>
      <c r="K8" s="1120" t="n">
        <v>-1807.870066752</v>
      </c>
      <c r="L8" s="1121" t="n"/>
      <c r="M8" s="1122" t="n"/>
      <c r="N8" s="1120" t="n">
        <v>-1807.870066752</v>
      </c>
      <c r="O8" s="1121" t="n"/>
      <c r="P8" s="1122" t="n"/>
      <c r="Q8" s="1120" t="n">
        <v>-1807.870066752</v>
      </c>
      <c r="R8" s="1121" t="n"/>
      <c r="S8" s="1122" t="n"/>
      <c r="T8" s="1120" t="n">
        <v>-1807.870066752</v>
      </c>
      <c r="U8" s="1121" t="n"/>
      <c r="V8" s="1122" t="n"/>
      <c r="W8" s="1120" t="n">
        <v>-1807.870066752</v>
      </c>
      <c r="X8" s="1121" t="n"/>
      <c r="Y8" s="1122" t="n"/>
      <c r="Z8" s="1120" t="n">
        <v>-1807.870066752</v>
      </c>
      <c r="AA8" s="1121" t="n"/>
      <c r="AB8" s="1122" t="n"/>
      <c r="AC8" s="1120" t="n">
        <v>-1807.870066752</v>
      </c>
      <c r="AD8" s="1121" t="n"/>
      <c r="AE8" s="1122" t="n"/>
      <c r="AF8" s="1120" t="n">
        <v>-1807.870066752</v>
      </c>
      <c r="AG8" s="1121" t="n"/>
      <c r="AH8" s="1122" t="n"/>
      <c r="AI8" s="1120" t="n">
        <v>-1807.874065728</v>
      </c>
      <c r="AJ8" s="1121" t="n"/>
      <c r="AK8" s="1122" t="n"/>
      <c r="AL8" s="1120" t="n">
        <v>-21694.4448</v>
      </c>
      <c r="AM8" s="1121" t="n"/>
      <c r="AN8" s="1122" t="n"/>
    </row>
    <row r="9" ht="21" customHeight="1">
      <c r="A9" s="475" t="inlineStr">
        <is>
          <t>Autres locations (-)</t>
        </is>
      </c>
      <c r="B9" s="1120" t="n">
        <v>-110987.579904</v>
      </c>
      <c r="C9" s="1121" t="n"/>
      <c r="D9" s="1122" t="n"/>
      <c r="E9" s="1120" t="n">
        <v>-124861.027392</v>
      </c>
      <c r="F9" s="1121" t="n"/>
      <c r="G9" s="1122" t="n"/>
      <c r="H9" s="1120" t="n">
        <v>-110987.579904</v>
      </c>
      <c r="I9" s="1121" t="n"/>
      <c r="J9" s="1122" t="n"/>
      <c r="K9" s="1120" t="n">
        <v>-138734.47488</v>
      </c>
      <c r="L9" s="1121" t="n"/>
      <c r="M9" s="1122" t="n"/>
      <c r="N9" s="1120" t="n">
        <v>-110987.579904</v>
      </c>
      <c r="O9" s="1121" t="n"/>
      <c r="P9" s="1122" t="n"/>
      <c r="Q9" s="1120" t="n">
        <v>-97114.13241600001</v>
      </c>
      <c r="R9" s="1121" t="n"/>
      <c r="S9" s="1122" t="n"/>
      <c r="T9" s="1120" t="n">
        <v>-124861.027392</v>
      </c>
      <c r="U9" s="1121" t="n"/>
      <c r="V9" s="1122" t="n"/>
      <c r="W9" s="1120" t="n">
        <v>-110987.579904</v>
      </c>
      <c r="X9" s="1121" t="n"/>
      <c r="Y9" s="1122" t="n"/>
      <c r="Z9" s="1120" t="n">
        <v>-97114.13241600001</v>
      </c>
      <c r="AA9" s="1121" t="n"/>
      <c r="AB9" s="1122" t="n"/>
      <c r="AC9" s="1120" t="n">
        <v>-97114.13241600001</v>
      </c>
      <c r="AD9" s="1121" t="n"/>
      <c r="AE9" s="1122" t="n"/>
      <c r="AF9" s="1120" t="n">
        <v>-152607.922368</v>
      </c>
      <c r="AG9" s="1121" t="n"/>
      <c r="AH9" s="1122" t="n"/>
      <c r="AI9" s="1120" t="n">
        <v>-110987.579904</v>
      </c>
      <c r="AJ9" s="1121" t="n"/>
      <c r="AK9" s="1122" t="n"/>
      <c r="AL9" s="1120" t="n">
        <v>-1387344.7488</v>
      </c>
      <c r="AM9" s="1121" t="n"/>
      <c r="AN9" s="1122" t="n"/>
    </row>
    <row r="10" ht="21" customHeight="1">
      <c r="A10" s="475" t="inlineStr">
        <is>
          <t>Entretien et réparations (-)</t>
        </is>
      </c>
      <c r="B10" s="1120" t="n">
        <v>-14115.06561792</v>
      </c>
      <c r="C10" s="1121" t="n"/>
      <c r="D10" s="1122" t="n"/>
      <c r="E10" s="1120" t="n">
        <v>-15616.3012032</v>
      </c>
      <c r="F10" s="1121" t="n"/>
      <c r="G10" s="1122" t="n"/>
      <c r="H10" s="1120" t="n">
        <v>-12441.27421824</v>
      </c>
      <c r="I10" s="1121" t="n"/>
      <c r="J10" s="1122" t="n"/>
      <c r="K10" s="1120" t="n">
        <v>-18756.81702528</v>
      </c>
      <c r="L10" s="1121" t="n"/>
      <c r="M10" s="1122" t="n"/>
      <c r="N10" s="1120" t="n">
        <v>-13511.12026752</v>
      </c>
      <c r="O10" s="1121" t="n"/>
      <c r="P10" s="1122" t="n"/>
      <c r="Q10" s="1120" t="n">
        <v>-10853.76072576</v>
      </c>
      <c r="R10" s="1121" t="n"/>
      <c r="S10" s="1122" t="n"/>
      <c r="T10" s="1120" t="n">
        <v>-15219.42283008</v>
      </c>
      <c r="U10" s="1121" t="n"/>
      <c r="V10" s="1122" t="n"/>
      <c r="W10" s="1120" t="n">
        <v>-12855.4081728</v>
      </c>
      <c r="X10" s="1121" t="n"/>
      <c r="Y10" s="1122" t="n"/>
      <c r="Z10" s="1120" t="n">
        <v>-11026.31654016</v>
      </c>
      <c r="AA10" s="1121" t="n"/>
      <c r="AB10" s="1122" t="n"/>
      <c r="AC10" s="1120" t="n">
        <v>-11492.21723904</v>
      </c>
      <c r="AD10" s="1121" t="n"/>
      <c r="AE10" s="1122" t="n"/>
      <c r="AF10" s="1120" t="n">
        <v>-21138.087264</v>
      </c>
      <c r="AG10" s="1121" t="n"/>
      <c r="AH10" s="1122" t="n"/>
      <c r="AI10" s="1120" t="n">
        <v>-15530.023296</v>
      </c>
      <c r="AJ10" s="1121" t="n"/>
      <c r="AK10" s="1122" t="n"/>
      <c r="AL10" s="1120" t="n">
        <v>-172555.8144</v>
      </c>
      <c r="AM10" s="1121" t="n"/>
      <c r="AN10" s="1122" t="n"/>
    </row>
    <row r="11" ht="21" customHeight="1">
      <c r="A11" s="476" t="inlineStr">
        <is>
          <t>Frais de consommables (-)</t>
        </is>
      </c>
      <c r="B11" s="1120" t="n">
        <v>-22137.59132544</v>
      </c>
      <c r="C11" s="1121" t="n"/>
      <c r="D11" s="1122" t="n"/>
      <c r="E11" s="1120" t="n">
        <v>-24492.0784224</v>
      </c>
      <c r="F11" s="1121" t="n"/>
      <c r="G11" s="1122" t="n"/>
      <c r="H11" s="1120" t="n">
        <v>-19512.47352768</v>
      </c>
      <c r="I11" s="1121" t="n"/>
      <c r="J11" s="1122" t="n"/>
      <c r="K11" s="1120" t="n">
        <v>-29417.55717696</v>
      </c>
      <c r="L11" s="1121" t="n"/>
      <c r="M11" s="1122" t="n"/>
      <c r="N11" s="1120" t="n">
        <v>-21190.38387264</v>
      </c>
      <c r="O11" s="1121" t="n"/>
      <c r="P11" s="1122" t="n"/>
      <c r="Q11" s="1120" t="n">
        <v>-17022.67108032</v>
      </c>
      <c r="R11" s="1121" t="n"/>
      <c r="S11" s="1122" t="n"/>
      <c r="T11" s="1120" t="n">
        <v>-23869.62781056</v>
      </c>
      <c r="U11" s="1121" t="n"/>
      <c r="V11" s="1122" t="n"/>
      <c r="W11" s="1120" t="n">
        <v>-20161.9872096</v>
      </c>
      <c r="X11" s="1121" t="n"/>
      <c r="Y11" s="1122" t="n"/>
      <c r="Z11" s="1120" t="n">
        <v>-17293.30178112</v>
      </c>
      <c r="AA11" s="1121" t="n"/>
      <c r="AB11" s="1122" t="n"/>
      <c r="AC11" s="1120" t="n">
        <v>-18024.00467328</v>
      </c>
      <c r="AD11" s="1121" t="n"/>
      <c r="AE11" s="1122" t="n"/>
      <c r="AF11" s="1120" t="n">
        <v>-33152.260848</v>
      </c>
      <c r="AG11" s="1121" t="n"/>
      <c r="AH11" s="1122" t="n"/>
      <c r="AI11" s="1120" t="n">
        <v>-24356.763072</v>
      </c>
      <c r="AJ11" s="1121" t="n"/>
      <c r="AK11" s="1122" t="n"/>
      <c r="AL11" s="1120" t="n">
        <v>-270630.7008</v>
      </c>
      <c r="AM11" s="1121" t="n"/>
      <c r="AN11" s="1122" t="n"/>
    </row>
    <row r="12" ht="21" customHeight="1">
      <c r="A12" s="476" t="inlineStr">
        <is>
          <t>Frais de sous-traitance (-)</t>
        </is>
      </c>
      <c r="B12" s="1120" t="n">
        <v>-20244.808002048</v>
      </c>
      <c r="C12" s="1121" t="n"/>
      <c r="D12" s="1122" t="n"/>
      <c r="E12" s="1120" t="n">
        <v>-20244.808002048</v>
      </c>
      <c r="F12" s="1121" t="n"/>
      <c r="G12" s="1122" t="n"/>
      <c r="H12" s="1120" t="n">
        <v>-20244.808002048</v>
      </c>
      <c r="I12" s="1121" t="n"/>
      <c r="J12" s="1122" t="n"/>
      <c r="K12" s="1120" t="n">
        <v>-20244.808002048</v>
      </c>
      <c r="L12" s="1121" t="n"/>
      <c r="M12" s="1122" t="n"/>
      <c r="N12" s="1120" t="n">
        <v>-20244.808002048</v>
      </c>
      <c r="O12" s="1121" t="n"/>
      <c r="P12" s="1122" t="n"/>
      <c r="Q12" s="1120" t="n">
        <v>-20244.808002048</v>
      </c>
      <c r="R12" s="1121" t="n"/>
      <c r="S12" s="1122" t="n"/>
      <c r="T12" s="1120" t="n">
        <v>-20244.808002048</v>
      </c>
      <c r="U12" s="1121" t="n"/>
      <c r="V12" s="1122" t="n"/>
      <c r="W12" s="1120" t="n">
        <v>-20244.808002048</v>
      </c>
      <c r="X12" s="1121" t="n"/>
      <c r="Y12" s="1122" t="n"/>
      <c r="Z12" s="1120" t="n">
        <v>-20244.808002048</v>
      </c>
      <c r="AA12" s="1121" t="n"/>
      <c r="AB12" s="1122" t="n"/>
      <c r="AC12" s="1120" t="n">
        <v>-20244.808002048</v>
      </c>
      <c r="AD12" s="1121" t="n"/>
      <c r="AE12" s="1122" t="n"/>
      <c r="AF12" s="1120" t="n">
        <v>-20244.808002048</v>
      </c>
      <c r="AG12" s="1121" t="n"/>
      <c r="AH12" s="1122" t="n"/>
      <c r="AI12" s="1120" t="n">
        <v>-20244.90397747202</v>
      </c>
      <c r="AJ12" s="1121" t="n"/>
      <c r="AK12" s="1122" t="n"/>
      <c r="AL12" s="1120" t="n">
        <v>-242937.792</v>
      </c>
      <c r="AM12" s="1121" t="n"/>
      <c r="AN12" s="1122" t="n"/>
    </row>
    <row r="13" ht="21" customHeight="1">
      <c r="A13" s="476" t="inlineStr">
        <is>
          <t>Assurances (primes, indemnités) (-)</t>
        </is>
      </c>
      <c r="B13" s="1120" t="n">
        <v>-3040.88633376</v>
      </c>
      <c r="C13" s="1121" t="n"/>
      <c r="D13" s="1122" t="n"/>
      <c r="E13" s="1120" t="n">
        <v>-3040.88633376</v>
      </c>
      <c r="F13" s="1121" t="n"/>
      <c r="G13" s="1122" t="n"/>
      <c r="H13" s="1120" t="n">
        <v>-3040.88633376</v>
      </c>
      <c r="I13" s="1121" t="n"/>
      <c r="J13" s="1122" t="n"/>
      <c r="K13" s="1120" t="n">
        <v>-3040.88633376</v>
      </c>
      <c r="L13" s="1121" t="n"/>
      <c r="M13" s="1122" t="n"/>
      <c r="N13" s="1120" t="n">
        <v>-3040.88633376</v>
      </c>
      <c r="O13" s="1121" t="n"/>
      <c r="P13" s="1122" t="n"/>
      <c r="Q13" s="1120" t="n">
        <v>-3040.88633376</v>
      </c>
      <c r="R13" s="1121" t="n"/>
      <c r="S13" s="1122" t="n"/>
      <c r="T13" s="1120" t="n">
        <v>-3040.88633376</v>
      </c>
      <c r="U13" s="1121" t="n"/>
      <c r="V13" s="1122" t="n"/>
      <c r="W13" s="1120" t="n">
        <v>-3040.88633376</v>
      </c>
      <c r="X13" s="1121" t="n"/>
      <c r="Y13" s="1122" t="n"/>
      <c r="Z13" s="1120" t="n">
        <v>-3040.88633376</v>
      </c>
      <c r="AA13" s="1121" t="n"/>
      <c r="AB13" s="1122" t="n"/>
      <c r="AC13" s="1120" t="n">
        <v>-3040.88633376</v>
      </c>
      <c r="AD13" s="1121" t="n"/>
      <c r="AE13" s="1122" t="n"/>
      <c r="AF13" s="1120" t="n">
        <v>-3040.88633376</v>
      </c>
      <c r="AG13" s="1121" t="n"/>
      <c r="AH13" s="1122" t="n"/>
      <c r="AI13" s="1120" t="n">
        <v>-3040.906328639998</v>
      </c>
      <c r="AJ13" s="1121" t="n"/>
      <c r="AK13" s="1122" t="n"/>
      <c r="AL13" s="1120" t="n">
        <v>-36490.656</v>
      </c>
      <c r="AM13" s="1121" t="n"/>
      <c r="AN13" s="1122" t="n"/>
    </row>
    <row r="14" ht="21" customHeight="1">
      <c r="A14" s="476" t="inlineStr">
        <is>
          <t>Impôts et taxes (-)</t>
        </is>
      </c>
      <c r="B14" s="1120" t="n">
        <v>-19732.72712832</v>
      </c>
      <c r="C14" s="1121" t="n"/>
      <c r="D14" s="1122" t="n"/>
      <c r="E14" s="1120" t="n">
        <v>-19732.72712832</v>
      </c>
      <c r="F14" s="1121" t="n"/>
      <c r="G14" s="1122" t="n"/>
      <c r="H14" s="1120" t="n">
        <v>-19732.72712832</v>
      </c>
      <c r="I14" s="1121" t="n"/>
      <c r="J14" s="1122" t="n"/>
      <c r="K14" s="1120" t="n">
        <v>-19732.72712832</v>
      </c>
      <c r="L14" s="1121" t="n"/>
      <c r="M14" s="1122" t="n"/>
      <c r="N14" s="1120" t="n">
        <v>-19732.72712832</v>
      </c>
      <c r="O14" s="1121" t="n"/>
      <c r="P14" s="1122" t="n"/>
      <c r="Q14" s="1120" t="n">
        <v>-19732.72712832</v>
      </c>
      <c r="R14" s="1121" t="n"/>
      <c r="S14" s="1122" t="n"/>
      <c r="T14" s="1120" t="n">
        <v>-11565.51846912</v>
      </c>
      <c r="U14" s="1121" t="n"/>
      <c r="V14" s="1122" t="n"/>
      <c r="W14" s="1120" t="n">
        <v>-11565.51846912</v>
      </c>
      <c r="X14" s="1121" t="n"/>
      <c r="Y14" s="1122" t="n"/>
      <c r="Z14" s="1120" t="n">
        <v>-11565.51846912</v>
      </c>
      <c r="AA14" s="1121" t="n"/>
      <c r="AB14" s="1122" t="n"/>
      <c r="AC14" s="1120" t="n">
        <v>-11565.51846912</v>
      </c>
      <c r="AD14" s="1121" t="n"/>
      <c r="AE14" s="1122" t="n"/>
      <c r="AF14" s="1120" t="n">
        <v>-11565.51846912</v>
      </c>
      <c r="AG14" s="1121" t="n"/>
      <c r="AH14" s="1122" t="n"/>
      <c r="AI14" s="1120" t="n">
        <v>-11527.96808447998</v>
      </c>
      <c r="AJ14" s="1121" t="n"/>
      <c r="AK14" s="1122" t="n"/>
      <c r="AL14" s="1120" t="n">
        <v>-187751.9232</v>
      </c>
      <c r="AM14" s="1121" t="n"/>
      <c r="AN14" s="1122" t="n"/>
    </row>
    <row r="15" ht="21" customHeight="1">
      <c r="A15" s="476" t="inlineStr">
        <is>
          <t>Frais de région (-)</t>
        </is>
      </c>
      <c r="B15" s="1123" t="n">
        <v>0</v>
      </c>
      <c r="C15" s="1124" t="n"/>
      <c r="D15" s="1125" t="n"/>
      <c r="E15" s="1123" t="n">
        <v>0</v>
      </c>
      <c r="F15" s="1124" t="n"/>
      <c r="G15" s="1125" t="n"/>
      <c r="H15" s="1123" t="n">
        <v>0</v>
      </c>
      <c r="I15" s="1124" t="n"/>
      <c r="J15" s="1125" t="n"/>
      <c r="K15" s="1123" t="n">
        <v>0</v>
      </c>
      <c r="L15" s="1124" t="n"/>
      <c r="M15" s="1125" t="n"/>
      <c r="N15" s="1123" t="n">
        <v>0</v>
      </c>
      <c r="O15" s="1124" t="n"/>
      <c r="P15" s="1125" t="n"/>
      <c r="Q15" s="1123" t="n">
        <v>0</v>
      </c>
      <c r="R15" s="1124" t="n"/>
      <c r="S15" s="1125" t="n"/>
      <c r="T15" s="1123" t="n">
        <v>0</v>
      </c>
      <c r="U15" s="1124" t="n"/>
      <c r="V15" s="1125" t="n"/>
      <c r="W15" s="1123" t="n">
        <v>0</v>
      </c>
      <c r="X15" s="1124" t="n"/>
      <c r="Y15" s="1125" t="n"/>
      <c r="Z15" s="1123" t="n">
        <v>0</v>
      </c>
      <c r="AA15" s="1124" t="n"/>
      <c r="AB15" s="1125" t="n"/>
      <c r="AC15" s="1123" t="n">
        <v>0</v>
      </c>
      <c r="AD15" s="1124" t="n"/>
      <c r="AE15" s="1125" t="n"/>
      <c r="AF15" s="1123" t="n">
        <v>0</v>
      </c>
      <c r="AG15" s="1124" t="n"/>
      <c r="AH15" s="1125" t="n"/>
      <c r="AI15" s="1123" t="n">
        <v>0</v>
      </c>
      <c r="AJ15" s="1124" t="n"/>
      <c r="AK15" s="1125" t="n"/>
      <c r="AL15" s="1123" t="n">
        <v>0</v>
      </c>
      <c r="AM15" s="1124" t="n"/>
      <c r="AN15" s="1125" t="n"/>
    </row>
    <row r="16" ht="21" customHeight="1">
      <c r="A16" s="476" t="inlineStr">
        <is>
          <t>Pertes sur créances (-)</t>
        </is>
      </c>
      <c r="B16" s="1120" t="n">
        <v>-1208.023666752</v>
      </c>
      <c r="C16" s="1121" t="n"/>
      <c r="D16" s="1122" t="n"/>
      <c r="E16" s="1120" t="n">
        <v>-1208.023666752</v>
      </c>
      <c r="F16" s="1121" t="n"/>
      <c r="G16" s="1122" t="n"/>
      <c r="H16" s="1120" t="n">
        <v>-1208.023666752</v>
      </c>
      <c r="I16" s="1121" t="n"/>
      <c r="J16" s="1122" t="n"/>
      <c r="K16" s="1120" t="n">
        <v>-1208.023666752</v>
      </c>
      <c r="L16" s="1121" t="n"/>
      <c r="M16" s="1122" t="n"/>
      <c r="N16" s="1120" t="n">
        <v>-1208.023666752</v>
      </c>
      <c r="O16" s="1121" t="n"/>
      <c r="P16" s="1122" t="n"/>
      <c r="Q16" s="1120" t="n">
        <v>-1208.023666752</v>
      </c>
      <c r="R16" s="1121" t="n"/>
      <c r="S16" s="1122" t="n"/>
      <c r="T16" s="1120" t="n">
        <v>-1208.023666752</v>
      </c>
      <c r="U16" s="1121" t="n"/>
      <c r="V16" s="1122" t="n"/>
      <c r="W16" s="1120" t="n">
        <v>-1208.023666752</v>
      </c>
      <c r="X16" s="1121" t="n"/>
      <c r="Y16" s="1122" t="n"/>
      <c r="Z16" s="1120" t="n">
        <v>-1208.023666752</v>
      </c>
      <c r="AA16" s="1121" t="n"/>
      <c r="AB16" s="1122" t="n"/>
      <c r="AC16" s="1120" t="n">
        <v>-1208.023666752</v>
      </c>
      <c r="AD16" s="1121" t="n"/>
      <c r="AE16" s="1122" t="n"/>
      <c r="AF16" s="1120" t="n">
        <v>-1208.023666752</v>
      </c>
      <c r="AG16" s="1121" t="n"/>
      <c r="AH16" s="1122" t="n"/>
      <c r="AI16" s="1120" t="n">
        <v>-1208.027665727996</v>
      </c>
      <c r="AJ16" s="1121" t="n"/>
      <c r="AK16" s="1122" t="n"/>
      <c r="AL16" s="1120" t="n">
        <v>-14496.288</v>
      </c>
      <c r="AM16" s="1121" t="n"/>
      <c r="AN16" s="1122" t="n"/>
    </row>
    <row r="17" ht="21" customHeight="1">
      <c r="A17" s="476" t="inlineStr">
        <is>
          <t>Dotations et reprise provisions clients (-)</t>
        </is>
      </c>
      <c r="B17" s="1123" t="n">
        <v>0</v>
      </c>
      <c r="C17" s="1124" t="n"/>
      <c r="D17" s="1125" t="n"/>
      <c r="E17" s="1123" t="n">
        <v>0</v>
      </c>
      <c r="F17" s="1124" t="n"/>
      <c r="G17" s="1125" t="n"/>
      <c r="H17" s="1123" t="n">
        <v>0</v>
      </c>
      <c r="I17" s="1124" t="n"/>
      <c r="J17" s="1125" t="n"/>
      <c r="K17" s="1123" t="n">
        <v>0</v>
      </c>
      <c r="L17" s="1124" t="n"/>
      <c r="M17" s="1125" t="n"/>
      <c r="N17" s="1123" t="n">
        <v>0</v>
      </c>
      <c r="O17" s="1124" t="n"/>
      <c r="P17" s="1125" t="n"/>
      <c r="Q17" s="1123" t="n">
        <v>0</v>
      </c>
      <c r="R17" s="1124" t="n"/>
      <c r="S17" s="1125" t="n"/>
      <c r="T17" s="1123" t="n">
        <v>0</v>
      </c>
      <c r="U17" s="1124" t="n"/>
      <c r="V17" s="1125" t="n"/>
      <c r="W17" s="1123" t="n">
        <v>0</v>
      </c>
      <c r="X17" s="1124" t="n"/>
      <c r="Y17" s="1125" t="n"/>
      <c r="Z17" s="1123" t="n">
        <v>0</v>
      </c>
      <c r="AA17" s="1124" t="n"/>
      <c r="AB17" s="1125" t="n"/>
      <c r="AC17" s="1123" t="n">
        <v>0</v>
      </c>
      <c r="AD17" s="1124" t="n"/>
      <c r="AE17" s="1125" t="n"/>
      <c r="AF17" s="1123" t="n">
        <v>0</v>
      </c>
      <c r="AG17" s="1124" t="n"/>
      <c r="AH17" s="1125" t="n"/>
      <c r="AI17" s="1120" t="n">
        <v>0</v>
      </c>
      <c r="AJ17" s="1121" t="n"/>
      <c r="AK17" s="1122" t="n"/>
      <c r="AL17" s="1120" t="n">
        <v>0</v>
      </c>
      <c r="AM17" s="1121" t="n"/>
      <c r="AN17" s="1122" t="n"/>
    </row>
    <row r="18" ht="21" customHeight="1">
      <c r="A18" s="476" t="inlineStr">
        <is>
          <t>Dotations et reprises provisions risques et charges d'exploitation (-)</t>
        </is>
      </c>
      <c r="B18" s="1123" t="n">
        <v>0</v>
      </c>
      <c r="C18" s="1124" t="n"/>
      <c r="D18" s="1125" t="n"/>
      <c r="E18" s="1123" t="n">
        <v>0</v>
      </c>
      <c r="F18" s="1124" t="n"/>
      <c r="G18" s="1125" t="n"/>
      <c r="H18" s="1123" t="n">
        <v>0</v>
      </c>
      <c r="I18" s="1124" t="n"/>
      <c r="J18" s="1125" t="n"/>
      <c r="K18" s="1123" t="n">
        <v>0</v>
      </c>
      <c r="L18" s="1124" t="n"/>
      <c r="M18" s="1125" t="n"/>
      <c r="N18" s="1123" t="n">
        <v>0</v>
      </c>
      <c r="O18" s="1124" t="n"/>
      <c r="P18" s="1125" t="n"/>
      <c r="Q18" s="1123" t="n">
        <v>0</v>
      </c>
      <c r="R18" s="1124" t="n"/>
      <c r="S18" s="1125" t="n"/>
      <c r="T18" s="1123" t="n">
        <v>0</v>
      </c>
      <c r="U18" s="1124" t="n"/>
      <c r="V18" s="1125" t="n"/>
      <c r="W18" s="1123" t="n">
        <v>0</v>
      </c>
      <c r="X18" s="1124" t="n"/>
      <c r="Y18" s="1125" t="n"/>
      <c r="Z18" s="1123" t="n">
        <v>0</v>
      </c>
      <c r="AA18" s="1124" t="n"/>
      <c r="AB18" s="1125" t="n"/>
      <c r="AC18" s="1123" t="n">
        <v>0</v>
      </c>
      <c r="AD18" s="1124" t="n"/>
      <c r="AE18" s="1125" t="n"/>
      <c r="AF18" s="1123" t="n">
        <v>0</v>
      </c>
      <c r="AG18" s="1124" t="n"/>
      <c r="AH18" s="1125" t="n"/>
      <c r="AI18" s="1120" t="n">
        <v>0</v>
      </c>
      <c r="AJ18" s="1121" t="n"/>
      <c r="AK18" s="1122" t="n"/>
      <c r="AL18" s="1120" t="n">
        <v>0</v>
      </c>
      <c r="AM18" s="1121" t="n"/>
      <c r="AN18" s="1122" t="n"/>
    </row>
    <row r="19" ht="21" customHeight="1">
      <c r="A19" s="476" t="inlineStr">
        <is>
          <t>Autres éléments d'exploitation (+/-)</t>
        </is>
      </c>
      <c r="B19" s="1123" t="n">
        <v>0</v>
      </c>
      <c r="C19" s="1124" t="n"/>
      <c r="D19" s="1125" t="n"/>
      <c r="E19" s="1123" t="n">
        <v>0</v>
      </c>
      <c r="F19" s="1124" t="n"/>
      <c r="G19" s="1125" t="n"/>
      <c r="H19" s="1123" t="n">
        <v>0</v>
      </c>
      <c r="I19" s="1124" t="n"/>
      <c r="J19" s="1125" t="n"/>
      <c r="K19" s="1123" t="n">
        <v>0</v>
      </c>
      <c r="L19" s="1124" t="n"/>
      <c r="M19" s="1125" t="n"/>
      <c r="N19" s="1123" t="n">
        <v>0</v>
      </c>
      <c r="O19" s="1124" t="n"/>
      <c r="P19" s="1125" t="n"/>
      <c r="Q19" s="1123" t="n">
        <v>0</v>
      </c>
      <c r="R19" s="1124" t="n"/>
      <c r="S19" s="1125" t="n"/>
      <c r="T19" s="1123" t="n">
        <v>0</v>
      </c>
      <c r="U19" s="1124" t="n"/>
      <c r="V19" s="1125" t="n"/>
      <c r="W19" s="1123" t="n">
        <v>0</v>
      </c>
      <c r="X19" s="1124" t="n"/>
      <c r="Y19" s="1125" t="n"/>
      <c r="Z19" s="1123" t="n">
        <v>0</v>
      </c>
      <c r="AA19" s="1124" t="n"/>
      <c r="AB19" s="1125" t="n"/>
      <c r="AC19" s="1123" t="n">
        <v>0</v>
      </c>
      <c r="AD19" s="1124" t="n"/>
      <c r="AE19" s="1125" t="n"/>
      <c r="AF19" s="1123" t="n">
        <v>0</v>
      </c>
      <c r="AG19" s="1124" t="n"/>
      <c r="AH19" s="1125" t="n"/>
      <c r="AI19" s="1120" t="n">
        <v>0</v>
      </c>
      <c r="AJ19" s="1121" t="n"/>
      <c r="AK19" s="1122" t="n"/>
      <c r="AL19" s="1120" t="n">
        <v>0</v>
      </c>
      <c r="AM19" s="1121" t="n"/>
      <c r="AN19" s="1122" t="n"/>
    </row>
    <row r="20" ht="21" customHeight="1">
      <c r="A20" s="476" t="inlineStr">
        <is>
          <t>Commissions courtage (-)</t>
        </is>
      </c>
      <c r="B20" s="1120" t="n">
        <v>-16.662733248</v>
      </c>
      <c r="C20" s="1121" t="n"/>
      <c r="D20" s="1122" t="n"/>
      <c r="E20" s="1120" t="n">
        <v>-16.662733248</v>
      </c>
      <c r="F20" s="1121" t="n"/>
      <c r="G20" s="1122" t="n"/>
      <c r="H20" s="1120" t="n">
        <v>-16.662733248</v>
      </c>
      <c r="I20" s="1121" t="n"/>
      <c r="J20" s="1122" t="n"/>
      <c r="K20" s="1120" t="n">
        <v>-16.662733248</v>
      </c>
      <c r="L20" s="1121" t="n"/>
      <c r="M20" s="1122" t="n"/>
      <c r="N20" s="1120" t="n">
        <v>-16.662733248</v>
      </c>
      <c r="O20" s="1121" t="n"/>
      <c r="P20" s="1122" t="n"/>
      <c r="Q20" s="1120" t="n">
        <v>-16.662733248</v>
      </c>
      <c r="R20" s="1121" t="n"/>
      <c r="S20" s="1122" t="n"/>
      <c r="T20" s="1120" t="n">
        <v>-16.662733248</v>
      </c>
      <c r="U20" s="1121" t="n"/>
      <c r="V20" s="1122" t="n"/>
      <c r="W20" s="1120" t="n">
        <v>-16.662733248</v>
      </c>
      <c r="X20" s="1121" t="n"/>
      <c r="Y20" s="1122" t="n"/>
      <c r="Z20" s="1120" t="n">
        <v>-16.662733248</v>
      </c>
      <c r="AA20" s="1121" t="n"/>
      <c r="AB20" s="1122" t="n"/>
      <c r="AC20" s="1120" t="n">
        <v>-16.662733248</v>
      </c>
      <c r="AD20" s="1121" t="n"/>
      <c r="AE20" s="1122" t="n"/>
      <c r="AF20" s="1120" t="n">
        <v>-16.662733248</v>
      </c>
      <c r="AG20" s="1121" t="n"/>
      <c r="AH20" s="1122" t="n"/>
      <c r="AI20" s="1120" t="n">
        <v>-16.65873427199998</v>
      </c>
      <c r="AJ20" s="1121" t="n"/>
      <c r="AK20" s="1122" t="n"/>
      <c r="AL20" s="1120" t="n">
        <v>-199.9488</v>
      </c>
      <c r="AM20" s="1121" t="n"/>
      <c r="AN20" s="1122" t="n"/>
    </row>
    <row r="21" ht="21" customHeight="1">
      <c r="A21" s="476" t="inlineStr">
        <is>
          <t>Honoraires (-)</t>
        </is>
      </c>
      <c r="B21" s="1120" t="n">
        <v>-299.9232</v>
      </c>
      <c r="C21" s="1121" t="n"/>
      <c r="D21" s="1122" t="n"/>
      <c r="E21" s="1120" t="n">
        <v>-299.9232</v>
      </c>
      <c r="F21" s="1121" t="n"/>
      <c r="G21" s="1122" t="n"/>
      <c r="H21" s="1120" t="n">
        <v>-299.9232</v>
      </c>
      <c r="I21" s="1121" t="n"/>
      <c r="J21" s="1122" t="n"/>
      <c r="K21" s="1120" t="n">
        <v>-299.9232</v>
      </c>
      <c r="L21" s="1121" t="n"/>
      <c r="M21" s="1122" t="n"/>
      <c r="N21" s="1120" t="n">
        <v>-299.9232</v>
      </c>
      <c r="O21" s="1121" t="n"/>
      <c r="P21" s="1122" t="n"/>
      <c r="Q21" s="1120" t="n">
        <v>-299.9232</v>
      </c>
      <c r="R21" s="1121" t="n"/>
      <c r="S21" s="1122" t="n"/>
      <c r="T21" s="1120" t="n">
        <v>-299.9232</v>
      </c>
      <c r="U21" s="1121" t="n"/>
      <c r="V21" s="1122" t="n"/>
      <c r="W21" s="1120" t="n">
        <v>-299.9232</v>
      </c>
      <c r="X21" s="1121" t="n"/>
      <c r="Y21" s="1122" t="n"/>
      <c r="Z21" s="1120" t="n">
        <v>-299.9232</v>
      </c>
      <c r="AA21" s="1121" t="n"/>
      <c r="AB21" s="1122" t="n"/>
      <c r="AC21" s="1120" t="n">
        <v>-299.9232</v>
      </c>
      <c r="AD21" s="1121" t="n"/>
      <c r="AE21" s="1122" t="n"/>
      <c r="AF21" s="1120" t="n">
        <v>-299.9232</v>
      </c>
      <c r="AG21" s="1121" t="n"/>
      <c r="AH21" s="1122" t="n"/>
      <c r="AI21" s="1120" t="n">
        <v>-299.9232</v>
      </c>
      <c r="AJ21" s="1121" t="n"/>
      <c r="AK21" s="1122" t="n"/>
      <c r="AL21" s="1120" t="n">
        <v>-3599.0784</v>
      </c>
      <c r="AM21" s="1121" t="n"/>
      <c r="AN21" s="1122" t="n"/>
    </row>
    <row r="22" ht="21" customHeight="1">
      <c r="A22" s="476" t="inlineStr">
        <is>
          <t>HS douane (-)</t>
        </is>
      </c>
      <c r="B22" s="1123" t="n">
        <v>0</v>
      </c>
      <c r="C22" s="1124" t="n"/>
      <c r="D22" s="1125" t="n"/>
      <c r="E22" s="1123" t="n">
        <v>0</v>
      </c>
      <c r="F22" s="1124" t="n"/>
      <c r="G22" s="1125" t="n"/>
      <c r="H22" s="1123" t="n">
        <v>0</v>
      </c>
      <c r="I22" s="1124" t="n"/>
      <c r="J22" s="1125" t="n"/>
      <c r="K22" s="1123" t="n">
        <v>0</v>
      </c>
      <c r="L22" s="1124" t="n"/>
      <c r="M22" s="1125" t="n"/>
      <c r="N22" s="1123" t="n">
        <v>0</v>
      </c>
      <c r="O22" s="1124" t="n"/>
      <c r="P22" s="1125" t="n"/>
      <c r="Q22" s="1123" t="n">
        <v>0</v>
      </c>
      <c r="R22" s="1124" t="n"/>
      <c r="S22" s="1125" t="n"/>
      <c r="T22" s="1123" t="n">
        <v>0</v>
      </c>
      <c r="U22" s="1124" t="n"/>
      <c r="V22" s="1125" t="n"/>
      <c r="W22" s="1123" t="n">
        <v>0</v>
      </c>
      <c r="X22" s="1124" t="n"/>
      <c r="Y22" s="1125" t="n"/>
      <c r="Z22" s="1123" t="n">
        <v>0</v>
      </c>
      <c r="AA22" s="1124" t="n"/>
      <c r="AB22" s="1125" t="n"/>
      <c r="AC22" s="1123" t="n">
        <v>0</v>
      </c>
      <c r="AD22" s="1124" t="n"/>
      <c r="AE22" s="1125" t="n"/>
      <c r="AF22" s="1123" t="n">
        <v>0</v>
      </c>
      <c r="AG22" s="1124" t="n"/>
      <c r="AH22" s="1125" t="n"/>
      <c r="AI22" s="1120" t="n">
        <v>0</v>
      </c>
      <c r="AJ22" s="1121" t="n"/>
      <c r="AK22" s="1122" t="n"/>
      <c r="AL22" s="1120" t="n">
        <v>0</v>
      </c>
      <c r="AM22" s="1121" t="n"/>
      <c r="AN22" s="1122" t="n"/>
    </row>
    <row r="23" ht="21" customHeight="1">
      <c r="A23" s="476" t="inlineStr">
        <is>
          <t>Frais bancaires et commissions d’engagement (-)</t>
        </is>
      </c>
      <c r="B23" s="1123" t="n">
        <v>0</v>
      </c>
      <c r="C23" s="1124" t="n"/>
      <c r="D23" s="1125" t="n"/>
      <c r="E23" s="1123" t="n">
        <v>0</v>
      </c>
      <c r="F23" s="1124" t="n"/>
      <c r="G23" s="1125" t="n"/>
      <c r="H23" s="1123" t="n">
        <v>0</v>
      </c>
      <c r="I23" s="1124" t="n"/>
      <c r="J23" s="1125" t="n"/>
      <c r="K23" s="1123" t="n">
        <v>0</v>
      </c>
      <c r="L23" s="1124" t="n"/>
      <c r="M23" s="1125" t="n"/>
      <c r="N23" s="1123" t="n">
        <v>0</v>
      </c>
      <c r="O23" s="1124" t="n"/>
      <c r="P23" s="1125" t="n"/>
      <c r="Q23" s="1123" t="n">
        <v>0</v>
      </c>
      <c r="R23" s="1124" t="n"/>
      <c r="S23" s="1125" t="n"/>
      <c r="T23" s="1123" t="n">
        <v>0</v>
      </c>
      <c r="U23" s="1124" t="n"/>
      <c r="V23" s="1125" t="n"/>
      <c r="W23" s="1123" t="n">
        <v>0</v>
      </c>
      <c r="X23" s="1124" t="n"/>
      <c r="Y23" s="1125" t="n"/>
      <c r="Z23" s="1123" t="n">
        <v>0</v>
      </c>
      <c r="AA23" s="1124" t="n"/>
      <c r="AB23" s="1125" t="n"/>
      <c r="AC23" s="1123" t="n">
        <v>0</v>
      </c>
      <c r="AD23" s="1124" t="n"/>
      <c r="AE23" s="1125" t="n"/>
      <c r="AF23" s="1123" t="n">
        <v>0</v>
      </c>
      <c r="AG23" s="1124" t="n"/>
      <c r="AH23" s="1125" t="n"/>
      <c r="AI23" s="1120" t="n">
        <v>0</v>
      </c>
      <c r="AJ23" s="1121" t="n"/>
      <c r="AK23" s="1122" t="n"/>
      <c r="AL23" s="1120" t="n">
        <v>0</v>
      </c>
      <c r="AM23" s="1121" t="n"/>
      <c r="AN23" s="1122" t="n"/>
    </row>
    <row r="24" ht="21" customHeight="1">
      <c r="A24" s="476" t="inlineStr">
        <is>
          <t>Hotels/restaurants/réceptions (-)</t>
        </is>
      </c>
      <c r="B24" s="1120" t="n">
        <v>-466.546533504</v>
      </c>
      <c r="C24" s="1121" t="n"/>
      <c r="D24" s="1122" t="n"/>
      <c r="E24" s="1120" t="n">
        <v>-466.546533504</v>
      </c>
      <c r="F24" s="1121" t="n"/>
      <c r="G24" s="1122" t="n"/>
      <c r="H24" s="1120" t="n">
        <v>-466.546533504</v>
      </c>
      <c r="I24" s="1121" t="n"/>
      <c r="J24" s="1122" t="n"/>
      <c r="K24" s="1120" t="n">
        <v>-466.546533504</v>
      </c>
      <c r="L24" s="1121" t="n"/>
      <c r="M24" s="1122" t="n"/>
      <c r="N24" s="1120" t="n">
        <v>-466.546533504</v>
      </c>
      <c r="O24" s="1121" t="n"/>
      <c r="P24" s="1122" t="n"/>
      <c r="Q24" s="1120" t="n">
        <v>-466.546533504</v>
      </c>
      <c r="R24" s="1121" t="n"/>
      <c r="S24" s="1122" t="n"/>
      <c r="T24" s="1120" t="n">
        <v>-466.546533504</v>
      </c>
      <c r="U24" s="1121" t="n"/>
      <c r="V24" s="1122" t="n"/>
      <c r="W24" s="1120" t="n">
        <v>-466.546533504</v>
      </c>
      <c r="X24" s="1121" t="n"/>
      <c r="Y24" s="1122" t="n"/>
      <c r="Z24" s="1120" t="n">
        <v>-466.546533504</v>
      </c>
      <c r="AA24" s="1121" t="n"/>
      <c r="AB24" s="1122" t="n"/>
      <c r="AC24" s="1120" t="n">
        <v>-466.546533504</v>
      </c>
      <c r="AD24" s="1121" t="n"/>
      <c r="AE24" s="1122" t="n"/>
      <c r="AF24" s="1120" t="n">
        <v>-466.546533504</v>
      </c>
      <c r="AG24" s="1121" t="n"/>
      <c r="AH24" s="1122" t="n"/>
      <c r="AI24" s="1120" t="n">
        <v>-466.5545314559991</v>
      </c>
      <c r="AJ24" s="1121" t="n"/>
      <c r="AK24" s="1122" t="n"/>
      <c r="AL24" s="1120" t="n">
        <v>-5598.5664</v>
      </c>
      <c r="AM24" s="1121" t="n"/>
      <c r="AN24" s="1122" t="n"/>
    </row>
    <row r="25" ht="21" customHeight="1">
      <c r="A25" s="476" t="inlineStr">
        <is>
          <t>Déplacements, missions / Dons &amp; Cadeaux (-)</t>
        </is>
      </c>
      <c r="B25" s="1120" t="n">
        <v>-66.64993324800001</v>
      </c>
      <c r="C25" s="1121" t="n"/>
      <c r="D25" s="1122" t="n"/>
      <c r="E25" s="1120" t="n">
        <v>-66.64993324800001</v>
      </c>
      <c r="F25" s="1121" t="n"/>
      <c r="G25" s="1122" t="n"/>
      <c r="H25" s="1120" t="n">
        <v>-66.64993324800001</v>
      </c>
      <c r="I25" s="1121" t="n"/>
      <c r="J25" s="1122" t="n"/>
      <c r="K25" s="1120" t="n">
        <v>-66.64993324800001</v>
      </c>
      <c r="L25" s="1121" t="n"/>
      <c r="M25" s="1122" t="n"/>
      <c r="N25" s="1120" t="n">
        <v>-66.64993324800001</v>
      </c>
      <c r="O25" s="1121" t="n"/>
      <c r="P25" s="1122" t="n"/>
      <c r="Q25" s="1120" t="n">
        <v>-66.64993324800001</v>
      </c>
      <c r="R25" s="1121" t="n"/>
      <c r="S25" s="1122" t="n"/>
      <c r="T25" s="1120" t="n">
        <v>-66.64993324800001</v>
      </c>
      <c r="U25" s="1121" t="n"/>
      <c r="V25" s="1122" t="n"/>
      <c r="W25" s="1120" t="n">
        <v>-66.64993324800001</v>
      </c>
      <c r="X25" s="1121" t="n"/>
      <c r="Y25" s="1122" t="n"/>
      <c r="Z25" s="1120" t="n">
        <v>-66.64993324800001</v>
      </c>
      <c r="AA25" s="1121" t="n"/>
      <c r="AB25" s="1122" t="n"/>
      <c r="AC25" s="1120" t="n">
        <v>-66.64993324800001</v>
      </c>
      <c r="AD25" s="1121" t="n"/>
      <c r="AE25" s="1122" t="n"/>
      <c r="AF25" s="1120" t="n">
        <v>-66.64993324800001</v>
      </c>
      <c r="AG25" s="1121" t="n"/>
      <c r="AH25" s="1122" t="n"/>
      <c r="AI25" s="1120" t="n">
        <v>-66.64593427199978</v>
      </c>
      <c r="AJ25" s="1121" t="n"/>
      <c r="AK25" s="1122" t="n"/>
      <c r="AL25" s="1120" t="n">
        <v>-799.7952</v>
      </c>
      <c r="AM25" s="1121" t="n"/>
      <c r="AN25" s="1122" t="n"/>
    </row>
    <row r="26" ht="21" customHeight="1">
      <c r="A26" s="476" t="inlineStr">
        <is>
          <t>Avaries (-)</t>
        </is>
      </c>
      <c r="B26" s="1123" t="n">
        <v>0</v>
      </c>
      <c r="C26" s="1124" t="n"/>
      <c r="D26" s="1125" t="n"/>
      <c r="E26" s="1123" t="n">
        <v>0</v>
      </c>
      <c r="F26" s="1124" t="n"/>
      <c r="G26" s="1125" t="n"/>
      <c r="H26" s="1123" t="n">
        <v>0</v>
      </c>
      <c r="I26" s="1124" t="n"/>
      <c r="J26" s="1125" t="n"/>
      <c r="K26" s="1123" t="n">
        <v>0</v>
      </c>
      <c r="L26" s="1124" t="n"/>
      <c r="M26" s="1125" t="n"/>
      <c r="N26" s="1123" t="n">
        <v>0</v>
      </c>
      <c r="O26" s="1124" t="n"/>
      <c r="P26" s="1125" t="n"/>
      <c r="Q26" s="1123" t="n">
        <v>0</v>
      </c>
      <c r="R26" s="1124" t="n"/>
      <c r="S26" s="1125" t="n"/>
      <c r="T26" s="1123" t="n">
        <v>0</v>
      </c>
      <c r="U26" s="1124" t="n"/>
      <c r="V26" s="1125" t="n"/>
      <c r="W26" s="1123" t="n">
        <v>0</v>
      </c>
      <c r="X26" s="1124" t="n"/>
      <c r="Y26" s="1125" t="n"/>
      <c r="Z26" s="1123" t="n">
        <v>0</v>
      </c>
      <c r="AA26" s="1124" t="n"/>
      <c r="AB26" s="1125" t="n"/>
      <c r="AC26" s="1123" t="n">
        <v>0</v>
      </c>
      <c r="AD26" s="1124" t="n"/>
      <c r="AE26" s="1125" t="n"/>
      <c r="AF26" s="1123" t="n">
        <v>0</v>
      </c>
      <c r="AG26" s="1124" t="n"/>
      <c r="AH26" s="1125" t="n"/>
      <c r="AI26" s="1120" t="n">
        <v>0</v>
      </c>
      <c r="AJ26" s="1121" t="n"/>
      <c r="AK26" s="1122" t="n"/>
      <c r="AL26" s="1120" t="n">
        <v>0</v>
      </c>
      <c r="AM26" s="1121" t="n"/>
      <c r="AN26" s="1122" t="n"/>
    </row>
    <row r="27" ht="21" customHeight="1">
      <c r="A27" s="476" t="inlineStr">
        <is>
          <t>Litiges (-)</t>
        </is>
      </c>
      <c r="B27" s="1123" t="n">
        <v>0</v>
      </c>
      <c r="C27" s="1124" t="n"/>
      <c r="D27" s="1125" t="n"/>
      <c r="E27" s="1123" t="n">
        <v>0</v>
      </c>
      <c r="F27" s="1124" t="n"/>
      <c r="G27" s="1125" t="n"/>
      <c r="H27" s="1123" t="n">
        <v>0</v>
      </c>
      <c r="I27" s="1124" t="n"/>
      <c r="J27" s="1125" t="n"/>
      <c r="K27" s="1123" t="n">
        <v>0</v>
      </c>
      <c r="L27" s="1124" t="n"/>
      <c r="M27" s="1125" t="n"/>
      <c r="N27" s="1123" t="n">
        <v>0</v>
      </c>
      <c r="O27" s="1124" t="n"/>
      <c r="P27" s="1125" t="n"/>
      <c r="Q27" s="1123" t="n">
        <v>0</v>
      </c>
      <c r="R27" s="1124" t="n"/>
      <c r="S27" s="1125" t="n"/>
      <c r="T27" s="1123" t="n">
        <v>0</v>
      </c>
      <c r="U27" s="1124" t="n"/>
      <c r="V27" s="1125" t="n"/>
      <c r="W27" s="1123" t="n">
        <v>0</v>
      </c>
      <c r="X27" s="1124" t="n"/>
      <c r="Y27" s="1125" t="n"/>
      <c r="Z27" s="1123" t="n">
        <v>0</v>
      </c>
      <c r="AA27" s="1124" t="n"/>
      <c r="AB27" s="1125" t="n"/>
      <c r="AC27" s="1123" t="n">
        <v>0</v>
      </c>
      <c r="AD27" s="1124" t="n"/>
      <c r="AE27" s="1125" t="n"/>
      <c r="AF27" s="1123" t="n">
        <v>0</v>
      </c>
      <c r="AG27" s="1124" t="n"/>
      <c r="AH27" s="1125" t="n"/>
      <c r="AI27" s="1120" t="n">
        <v>0</v>
      </c>
      <c r="AJ27" s="1121" t="n"/>
      <c r="AK27" s="1122" t="n"/>
      <c r="AL27" s="1120" t="n">
        <v>0</v>
      </c>
      <c r="AM27" s="1121" t="n"/>
      <c r="AN27" s="1122" t="n"/>
    </row>
    <row r="28" ht="21" customHeight="1">
      <c r="A28" s="476" t="inlineStr">
        <is>
          <t>Amendes et pénalités (-)</t>
        </is>
      </c>
      <c r="B28" s="1123" t="n">
        <v>0</v>
      </c>
      <c r="C28" s="1124" t="n"/>
      <c r="D28" s="1125" t="n"/>
      <c r="E28" s="1123" t="n">
        <v>0</v>
      </c>
      <c r="F28" s="1124" t="n"/>
      <c r="G28" s="1125" t="n"/>
      <c r="H28" s="1123" t="n">
        <v>0</v>
      </c>
      <c r="I28" s="1124" t="n"/>
      <c r="J28" s="1125" t="n"/>
      <c r="K28" s="1123" t="n">
        <v>0</v>
      </c>
      <c r="L28" s="1124" t="n"/>
      <c r="M28" s="1125" t="n"/>
      <c r="N28" s="1123" t="n">
        <v>0</v>
      </c>
      <c r="O28" s="1124" t="n"/>
      <c r="P28" s="1125" t="n"/>
      <c r="Q28" s="1123" t="n">
        <v>0</v>
      </c>
      <c r="R28" s="1124" t="n"/>
      <c r="S28" s="1125" t="n"/>
      <c r="T28" s="1123" t="n">
        <v>0</v>
      </c>
      <c r="U28" s="1124" t="n"/>
      <c r="V28" s="1125" t="n"/>
      <c r="W28" s="1123" t="n">
        <v>0</v>
      </c>
      <c r="X28" s="1124" t="n"/>
      <c r="Y28" s="1125" t="n"/>
      <c r="Z28" s="1123" t="n">
        <v>0</v>
      </c>
      <c r="AA28" s="1124" t="n"/>
      <c r="AB28" s="1125" t="n"/>
      <c r="AC28" s="1123" t="n">
        <v>0</v>
      </c>
      <c r="AD28" s="1124" t="n"/>
      <c r="AE28" s="1125" t="n"/>
      <c r="AF28" s="1123" t="n">
        <v>0</v>
      </c>
      <c r="AG28" s="1124" t="n"/>
      <c r="AH28" s="1125" t="n"/>
      <c r="AI28" s="1120" t="n">
        <v>0</v>
      </c>
      <c r="AJ28" s="1121" t="n"/>
      <c r="AK28" s="1122" t="n"/>
      <c r="AL28" s="1120" t="n">
        <v>0</v>
      </c>
      <c r="AM28" s="1121" t="n"/>
      <c r="AN28" s="1122" t="n"/>
    </row>
    <row r="29" ht="21" customHeight="1">
      <c r="A29" s="476" t="inlineStr">
        <is>
          <t>Publicité, publications, relations extérieures (-)</t>
        </is>
      </c>
      <c r="B29" s="1120" t="n">
        <v>-516.533733504</v>
      </c>
      <c r="C29" s="1121" t="n"/>
      <c r="D29" s="1122" t="n"/>
      <c r="E29" s="1120" t="n">
        <v>-516.533733504</v>
      </c>
      <c r="F29" s="1121" t="n"/>
      <c r="G29" s="1122" t="n"/>
      <c r="H29" s="1120" t="n">
        <v>-516.533733504</v>
      </c>
      <c r="I29" s="1121" t="n"/>
      <c r="J29" s="1122" t="n"/>
      <c r="K29" s="1120" t="n">
        <v>-516.533733504</v>
      </c>
      <c r="L29" s="1121" t="n"/>
      <c r="M29" s="1122" t="n"/>
      <c r="N29" s="1120" t="n">
        <v>-516.533733504</v>
      </c>
      <c r="O29" s="1121" t="n"/>
      <c r="P29" s="1122" t="n"/>
      <c r="Q29" s="1120" t="n">
        <v>-516.533733504</v>
      </c>
      <c r="R29" s="1121" t="n"/>
      <c r="S29" s="1122" t="n"/>
      <c r="T29" s="1120" t="n">
        <v>-516.533733504</v>
      </c>
      <c r="U29" s="1121" t="n"/>
      <c r="V29" s="1122" t="n"/>
      <c r="W29" s="1120" t="n">
        <v>-516.533733504</v>
      </c>
      <c r="X29" s="1121" t="n"/>
      <c r="Y29" s="1122" t="n"/>
      <c r="Z29" s="1120" t="n">
        <v>-516.533733504</v>
      </c>
      <c r="AA29" s="1121" t="n"/>
      <c r="AB29" s="1122" t="n"/>
      <c r="AC29" s="1120" t="n">
        <v>-516.533733504</v>
      </c>
      <c r="AD29" s="1121" t="n"/>
      <c r="AE29" s="1122" t="n"/>
      <c r="AF29" s="1120" t="n">
        <v>-516.533733504</v>
      </c>
      <c r="AG29" s="1121" t="n"/>
      <c r="AH29" s="1122" t="n"/>
      <c r="AI29" s="1120" t="n">
        <v>-516.5417314559991</v>
      </c>
      <c r="AJ29" s="1121" t="n"/>
      <c r="AK29" s="1122" t="n"/>
      <c r="AL29" s="1120" t="n">
        <v>-6198.4128</v>
      </c>
      <c r="AM29" s="1121" t="n"/>
      <c r="AN29" s="1122" t="n"/>
    </row>
    <row r="30" ht="21" customHeight="1">
      <c r="A30" s="476" t="inlineStr">
        <is>
          <t>Indemnités administrateurs / jetons (-)</t>
        </is>
      </c>
      <c r="B30" s="1123" t="n">
        <v>0</v>
      </c>
      <c r="C30" s="1124" t="n"/>
      <c r="D30" s="1125" t="n"/>
      <c r="E30" s="1123" t="n">
        <v>0</v>
      </c>
      <c r="F30" s="1124" t="n"/>
      <c r="G30" s="1125" t="n"/>
      <c r="H30" s="1123" t="n">
        <v>0</v>
      </c>
      <c r="I30" s="1124" t="n"/>
      <c r="J30" s="1125" t="n"/>
      <c r="K30" s="1123" t="n">
        <v>0</v>
      </c>
      <c r="L30" s="1124" t="n"/>
      <c r="M30" s="1125" t="n"/>
      <c r="N30" s="1123" t="n">
        <v>0</v>
      </c>
      <c r="O30" s="1124" t="n"/>
      <c r="P30" s="1125" t="n"/>
      <c r="Q30" s="1123" t="n">
        <v>0</v>
      </c>
      <c r="R30" s="1124" t="n"/>
      <c r="S30" s="1125" t="n"/>
      <c r="T30" s="1123" t="n">
        <v>0</v>
      </c>
      <c r="U30" s="1124" t="n"/>
      <c r="V30" s="1125" t="n"/>
      <c r="W30" s="1123" t="n">
        <v>0</v>
      </c>
      <c r="X30" s="1124" t="n"/>
      <c r="Y30" s="1125" t="n"/>
      <c r="Z30" s="1123" t="n">
        <v>0</v>
      </c>
      <c r="AA30" s="1124" t="n"/>
      <c r="AB30" s="1125" t="n"/>
      <c r="AC30" s="1123" t="n">
        <v>0</v>
      </c>
      <c r="AD30" s="1124" t="n"/>
      <c r="AE30" s="1125" t="n"/>
      <c r="AF30" s="1123" t="n">
        <v>0</v>
      </c>
      <c r="AG30" s="1124" t="n"/>
      <c r="AH30" s="1125" t="n"/>
      <c r="AI30" s="1120" t="n">
        <v>0</v>
      </c>
      <c r="AJ30" s="1121" t="n"/>
      <c r="AK30" s="1122" t="n"/>
      <c r="AL30" s="1120" t="n">
        <v>0</v>
      </c>
      <c r="AM30" s="1121" t="n"/>
      <c r="AN30" s="1122" t="n"/>
    </row>
    <row r="31" ht="21" customHeight="1">
      <c r="A31" s="476" t="inlineStr">
        <is>
          <t>Demurrages / Détention (-)</t>
        </is>
      </c>
      <c r="B31" s="1123" t="n">
        <v>0</v>
      </c>
      <c r="C31" s="1124" t="n"/>
      <c r="D31" s="1125" t="n"/>
      <c r="E31" s="1123" t="n">
        <v>0</v>
      </c>
      <c r="F31" s="1124" t="n"/>
      <c r="G31" s="1125" t="n"/>
      <c r="H31" s="1123" t="n">
        <v>0</v>
      </c>
      <c r="I31" s="1124" t="n"/>
      <c r="J31" s="1125" t="n"/>
      <c r="K31" s="1123" t="n">
        <v>0</v>
      </c>
      <c r="L31" s="1124" t="n"/>
      <c r="M31" s="1125" t="n"/>
      <c r="N31" s="1123" t="n">
        <v>0</v>
      </c>
      <c r="O31" s="1124" t="n"/>
      <c r="P31" s="1125" t="n"/>
      <c r="Q31" s="1123" t="n">
        <v>0</v>
      </c>
      <c r="R31" s="1124" t="n"/>
      <c r="S31" s="1125" t="n"/>
      <c r="T31" s="1123" t="n">
        <v>0</v>
      </c>
      <c r="U31" s="1124" t="n"/>
      <c r="V31" s="1125" t="n"/>
      <c r="W31" s="1123" t="n">
        <v>0</v>
      </c>
      <c r="X31" s="1124" t="n"/>
      <c r="Y31" s="1125" t="n"/>
      <c r="Z31" s="1123" t="n">
        <v>0</v>
      </c>
      <c r="AA31" s="1124" t="n"/>
      <c r="AB31" s="1125" t="n"/>
      <c r="AC31" s="1123" t="n">
        <v>0</v>
      </c>
      <c r="AD31" s="1124" t="n"/>
      <c r="AE31" s="1125" t="n"/>
      <c r="AF31" s="1123" t="n">
        <v>0</v>
      </c>
      <c r="AG31" s="1124" t="n"/>
      <c r="AH31" s="1125" t="n"/>
      <c r="AI31" s="1120" t="n">
        <v>0</v>
      </c>
      <c r="AJ31" s="1121" t="n"/>
      <c r="AK31" s="1122" t="n"/>
      <c r="AL31" s="1120" t="n">
        <v>0</v>
      </c>
      <c r="AM31" s="1121" t="n"/>
      <c r="AN31" s="1122" t="n"/>
    </row>
    <row r="32" ht="21" customHeight="1">
      <c r="A32" s="476" t="inlineStr">
        <is>
          <t>Achats divers, mat. et fournitures (-)</t>
        </is>
      </c>
      <c r="B32" s="1120" t="n">
        <v>-5356.959267264</v>
      </c>
      <c r="C32" s="1121" t="n"/>
      <c r="D32" s="1122" t="n"/>
      <c r="E32" s="1120" t="n">
        <v>-5356.959267264</v>
      </c>
      <c r="F32" s="1121" t="n"/>
      <c r="G32" s="1122" t="n"/>
      <c r="H32" s="1120" t="n">
        <v>-5356.959267264</v>
      </c>
      <c r="I32" s="1121" t="n"/>
      <c r="J32" s="1122" t="n"/>
      <c r="K32" s="1120" t="n">
        <v>-5356.959267264</v>
      </c>
      <c r="L32" s="1121" t="n"/>
      <c r="M32" s="1122" t="n"/>
      <c r="N32" s="1120" t="n">
        <v>-5356.959267264</v>
      </c>
      <c r="O32" s="1121" t="n"/>
      <c r="P32" s="1122" t="n"/>
      <c r="Q32" s="1120" t="n">
        <v>-5356.959267264</v>
      </c>
      <c r="R32" s="1121" t="n"/>
      <c r="S32" s="1122" t="n"/>
      <c r="T32" s="1120" t="n">
        <v>-5356.959267264</v>
      </c>
      <c r="U32" s="1121" t="n"/>
      <c r="V32" s="1122" t="n"/>
      <c r="W32" s="1120" t="n">
        <v>-5356.959267264</v>
      </c>
      <c r="X32" s="1121" t="n"/>
      <c r="Y32" s="1122" t="n"/>
      <c r="Z32" s="1120" t="n">
        <v>-5356.959267264</v>
      </c>
      <c r="AA32" s="1121" t="n"/>
      <c r="AB32" s="1122" t="n"/>
      <c r="AC32" s="1120" t="n">
        <v>-5356.959267264</v>
      </c>
      <c r="AD32" s="1121" t="n"/>
      <c r="AE32" s="1122" t="n"/>
      <c r="AF32" s="1120" t="n">
        <v>-5356.959267264</v>
      </c>
      <c r="AG32" s="1121" t="n"/>
      <c r="AH32" s="1122" t="n"/>
      <c r="AI32" s="1120" t="n">
        <v>-5356.987260096012</v>
      </c>
      <c r="AJ32" s="1121" t="n"/>
      <c r="AK32" s="1122" t="n"/>
      <c r="AL32" s="1120" t="n">
        <v>-64283.5392</v>
      </c>
      <c r="AM32" s="1121" t="n"/>
      <c r="AN32" s="1122" t="n"/>
    </row>
    <row r="33" ht="21" customHeight="1">
      <c r="A33" s="476" t="inlineStr">
        <is>
          <t>Résultat exceptionnel Opérationnel (+/-)</t>
        </is>
      </c>
      <c r="B33" s="1123" t="n">
        <v>0</v>
      </c>
      <c r="C33" s="1124" t="n"/>
      <c r="D33" s="1125" t="n"/>
      <c r="E33" s="1123" t="n">
        <v>0</v>
      </c>
      <c r="F33" s="1124" t="n"/>
      <c r="G33" s="1125" t="n"/>
      <c r="H33" s="1123" t="n">
        <v>0</v>
      </c>
      <c r="I33" s="1124" t="n"/>
      <c r="J33" s="1125" t="n"/>
      <c r="K33" s="1123" t="n">
        <v>0</v>
      </c>
      <c r="L33" s="1124" t="n"/>
      <c r="M33" s="1125" t="n"/>
      <c r="N33" s="1123" t="n">
        <v>0</v>
      </c>
      <c r="O33" s="1124" t="n"/>
      <c r="P33" s="1125" t="n"/>
      <c r="Q33" s="1123" t="n">
        <v>0</v>
      </c>
      <c r="R33" s="1124" t="n"/>
      <c r="S33" s="1125" t="n"/>
      <c r="T33" s="1123" t="n">
        <v>0</v>
      </c>
      <c r="U33" s="1124" t="n"/>
      <c r="V33" s="1125" t="n"/>
      <c r="W33" s="1123" t="n">
        <v>0</v>
      </c>
      <c r="X33" s="1124" t="n"/>
      <c r="Y33" s="1125" t="n"/>
      <c r="Z33" s="1123" t="n">
        <v>0</v>
      </c>
      <c r="AA33" s="1124" t="n"/>
      <c r="AB33" s="1125" t="n"/>
      <c r="AC33" s="1123" t="n">
        <v>0</v>
      </c>
      <c r="AD33" s="1124" t="n"/>
      <c r="AE33" s="1125" t="n"/>
      <c r="AF33" s="1123" t="n">
        <v>0</v>
      </c>
      <c r="AG33" s="1124" t="n"/>
      <c r="AH33" s="1125" t="n"/>
      <c r="AI33" s="1120" t="n">
        <v>0</v>
      </c>
      <c r="AJ33" s="1121" t="n"/>
      <c r="AK33" s="1122" t="n"/>
      <c r="AL33" s="1120" t="n">
        <v>0</v>
      </c>
      <c r="AM33" s="1121" t="n"/>
      <c r="AN33" s="1122" t="n"/>
    </row>
    <row r="34" ht="21.5" customHeight="1" thickBot="1">
      <c r="A34" s="477" t="inlineStr">
        <is>
          <t>Résultat opérationnel avant allocation (+/-)</t>
        </is>
      </c>
      <c r="B34" s="1126" t="n">
        <v>105498.304518336</v>
      </c>
      <c r="C34" s="1127" t="n"/>
      <c r="D34" s="1128" t="n"/>
      <c r="E34" s="1126" t="n">
        <v>128091.979056576</v>
      </c>
      <c r="F34" s="1127" t="n"/>
      <c r="G34" s="1128" t="n"/>
      <c r="H34" s="1126" t="n">
        <v>96837.72219513603</v>
      </c>
      <c r="I34" s="1127" t="n"/>
      <c r="J34" s="1128" t="n"/>
      <c r="K34" s="1126" t="n">
        <v>93116.03519097595</v>
      </c>
      <c r="L34" s="1127" t="n"/>
      <c r="M34" s="1128" t="n"/>
      <c r="N34" s="1126" t="n">
        <v>90478.09067769596</v>
      </c>
      <c r="O34" s="1127" t="n"/>
      <c r="P34" s="1128" t="n"/>
      <c r="Q34" s="1126" t="n">
        <v>91794.31363833601</v>
      </c>
      <c r="R34" s="1127" t="n"/>
      <c r="S34" s="1128" t="n"/>
      <c r="T34" s="1126" t="n">
        <v>126754.901436096</v>
      </c>
      <c r="U34" s="1127" t="n"/>
      <c r="V34" s="1128" t="n"/>
      <c r="W34" s="1126" t="n">
        <v>102063.184134336</v>
      </c>
      <c r="X34" s="1127" t="n"/>
      <c r="Y34" s="1128" t="n"/>
      <c r="Z34" s="1126" t="n">
        <v>97388.731100736</v>
      </c>
      <c r="AA34" s="1127" t="n"/>
      <c r="AB34" s="1128" t="n"/>
      <c r="AC34" s="1126" t="n">
        <v>108715.240771776</v>
      </c>
      <c r="AD34" s="1127" t="n"/>
      <c r="AE34" s="1128" t="n"/>
      <c r="AF34" s="1126" t="n">
        <v>145914.305372736</v>
      </c>
      <c r="AG34" s="1127" t="n"/>
      <c r="AH34" s="1128" t="n"/>
      <c r="AI34" s="1126" t="n">
        <v>148505.3039072638</v>
      </c>
      <c r="AJ34" s="1127" t="n"/>
      <c r="AK34" s="1128" t="n"/>
      <c r="AL34" s="1126" t="n">
        <v>1335158.112</v>
      </c>
      <c r="AM34" s="1127" t="n"/>
      <c r="AN34" s="1128" t="n"/>
    </row>
    <row r="35" ht="24.65" customHeight="1">
      <c r="A35" s="490" t="inlineStr">
        <is>
          <t>Part du CA Net annuel</t>
        </is>
      </c>
      <c r="B35" s="489">
        <f>B4/$AL$4</f>
        <v/>
      </c>
      <c r="E35" s="489">
        <f>E4/$AL$4</f>
        <v/>
      </c>
      <c r="H35" s="489">
        <f>H4/$AL$4</f>
        <v/>
      </c>
      <c r="K35" s="489">
        <f>K4/$AL$4</f>
        <v/>
      </c>
      <c r="N35" s="489">
        <f>N4/$AL$4</f>
        <v/>
      </c>
      <c r="Q35" s="489">
        <f>Q4/$AL$4</f>
        <v/>
      </c>
      <c r="T35" s="489">
        <f>T4/$AL$4</f>
        <v/>
      </c>
      <c r="W35" s="489">
        <f>W4/$AL$4</f>
        <v/>
      </c>
      <c r="Z35" s="489">
        <f>Z4/$AL$4</f>
        <v/>
      </c>
      <c r="AC35" s="489">
        <f>AC4/$AL$4</f>
        <v/>
      </c>
      <c r="AF35" s="489">
        <f>AF4/$AL$4</f>
        <v/>
      </c>
      <c r="AI35" s="489">
        <f>AI4/$AL$4</f>
        <v/>
      </c>
      <c r="AL35" s="489" t="n"/>
    </row>
  </sheetData>
  <mergeCells count="13">
    <mergeCell ref="T2:V2"/>
    <mergeCell ref="Z2:AB2"/>
    <mergeCell ref="AI2:AK2"/>
    <mergeCell ref="E2:G2"/>
    <mergeCell ref="K2:M2"/>
    <mergeCell ref="N2:P2"/>
    <mergeCell ref="AL2:AN2"/>
    <mergeCell ref="AC2:AE2"/>
    <mergeCell ref="AF2:AH2"/>
    <mergeCell ref="H2:J2"/>
    <mergeCell ref="B2:D2"/>
    <mergeCell ref="Q2:S2"/>
    <mergeCell ref="W2:Y2"/>
  </mergeCells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L50"/>
  <sheetViews>
    <sheetView zoomScale="87" zoomScaleNormal="87" workbookViewId="0">
      <selection activeCell="G11" sqref="G11"/>
    </sheetView>
  </sheetViews>
  <sheetFormatPr baseColWidth="10" defaultRowHeight="14.5"/>
  <cols>
    <col width="13.7265625" bestFit="1" customWidth="1" min="1" max="1"/>
    <col width="16.453125" bestFit="1" customWidth="1" min="3" max="3"/>
    <col width="15.1796875" bestFit="1" customWidth="1" min="4" max="5"/>
    <col width="15.1796875" bestFit="1" customWidth="1" style="306" min="6" max="6"/>
    <col width="15.54296875" customWidth="1" min="7" max="7"/>
    <col width="15.1796875" bestFit="1" customWidth="1" min="8" max="10"/>
    <col width="17.26953125" customWidth="1" min="11" max="11"/>
  </cols>
  <sheetData>
    <row r="1" ht="14.5" customHeight="1">
      <c r="B1" s="1129" t="inlineStr">
        <is>
          <t>CAP Généré par Département sur Clients O&amp;G (Après rétrocessions)</t>
        </is>
      </c>
      <c r="C1" s="1010" t="n"/>
      <c r="D1" s="1010" t="n"/>
      <c r="E1" s="1010" t="n"/>
      <c r="F1" s="1010" t="n"/>
      <c r="G1" s="1010" t="n"/>
      <c r="H1" s="1010" t="n"/>
      <c r="I1" s="1010" t="n"/>
      <c r="J1" s="1010" t="n"/>
      <c r="K1" s="1011" t="n"/>
    </row>
    <row r="2" ht="15" customHeight="1" thickBot="1">
      <c r="B2" s="59" t="n"/>
      <c r="C2" s="60" t="n"/>
      <c r="D2" s="60" t="n"/>
      <c r="E2" s="60" t="n"/>
      <c r="F2" s="60" t="n"/>
      <c r="G2" s="60" t="n"/>
      <c r="H2" s="60" t="n"/>
      <c r="I2" s="60" t="n"/>
      <c r="J2" s="60" t="n"/>
      <c r="K2" s="61" t="n"/>
    </row>
    <row r="3" ht="15" customHeight="1" thickBot="1">
      <c r="B3" s="149" t="n"/>
      <c r="C3" s="388" t="inlineStr">
        <is>
          <t>Base O&amp;G</t>
        </is>
      </c>
      <c r="D3" s="389" t="inlineStr">
        <is>
          <t>Import Maritime</t>
        </is>
      </c>
      <c r="E3" s="390" t="inlineStr">
        <is>
          <t>Hinterland</t>
        </is>
      </c>
      <c r="F3" s="391" t="inlineStr">
        <is>
          <t>Aérien</t>
        </is>
      </c>
      <c r="G3" s="392" t="inlineStr">
        <is>
          <t>Export Maritime</t>
        </is>
      </c>
      <c r="H3" s="393" t="inlineStr">
        <is>
          <t>Afritramp</t>
        </is>
      </c>
      <c r="I3" s="394" t="inlineStr">
        <is>
          <t>Meet &amp; Greet</t>
        </is>
      </c>
      <c r="J3" s="395" t="inlineStr">
        <is>
          <t>SIRT / LEVAGE</t>
        </is>
      </c>
      <c r="K3" s="385" t="inlineStr">
        <is>
          <t>TOTAL GENERE</t>
        </is>
      </c>
    </row>
    <row r="4" ht="20.15" customHeight="1">
      <c r="B4" s="386" t="inlineStr">
        <is>
          <t>Janvier</t>
        </is>
      </c>
      <c r="C4" s="1130">
        <f>Janvier!$D$54</f>
        <v/>
      </c>
      <c r="D4" s="1131">
        <f>Janvier!$E$54</f>
        <v/>
      </c>
      <c r="E4" s="1132">
        <f>Janvier!$F$54</f>
        <v/>
      </c>
      <c r="F4" s="1133">
        <f>Janvier!$I$54</f>
        <v/>
      </c>
      <c r="G4" s="1134">
        <f>Janvier!$J$54</f>
        <v/>
      </c>
      <c r="H4" s="1135">
        <f>Janvier!$L$54</f>
        <v/>
      </c>
      <c r="I4" s="1136">
        <f>Janvier!$M$54</f>
        <v/>
      </c>
      <c r="J4" s="1137">
        <f>Janvier!$K$54</f>
        <v/>
      </c>
      <c r="K4" s="1138">
        <f>SUM(C4:J4)</f>
        <v/>
      </c>
    </row>
    <row r="5" ht="20.15" customHeight="1">
      <c r="B5" s="387" t="inlineStr">
        <is>
          <t>Février</t>
        </is>
      </c>
      <c r="C5" s="1139">
        <f>Février!$D$54</f>
        <v/>
      </c>
      <c r="D5" s="1140">
        <f>Février!$E$54</f>
        <v/>
      </c>
      <c r="E5" s="1141">
        <f>Février!$F$54</f>
        <v/>
      </c>
      <c r="F5" s="1142">
        <f>Février!$I$54</f>
        <v/>
      </c>
      <c r="G5" s="1143">
        <f>Février!$J$54</f>
        <v/>
      </c>
      <c r="H5" s="1144">
        <f>Février!$L$54</f>
        <v/>
      </c>
      <c r="I5" s="1145">
        <f>Février!$M$54</f>
        <v/>
      </c>
      <c r="J5" s="1146">
        <f>Février!$K$54</f>
        <v/>
      </c>
      <c r="K5" s="1147">
        <f>SUM(C5:J5)</f>
        <v/>
      </c>
    </row>
    <row r="6" ht="25.5" customHeight="1">
      <c r="B6" s="387" t="inlineStr">
        <is>
          <t>Mars</t>
        </is>
      </c>
      <c r="C6" s="1139">
        <f>Mars!$D$54</f>
        <v/>
      </c>
      <c r="D6" s="1140">
        <f>Mars!$E$54</f>
        <v/>
      </c>
      <c r="E6" s="1141">
        <f>Mars!$F$54</f>
        <v/>
      </c>
      <c r="F6" s="1142">
        <f>Mars!$I$54</f>
        <v/>
      </c>
      <c r="G6" s="1143">
        <f>Mars!$J$54</f>
        <v/>
      </c>
      <c r="H6" s="1144">
        <f>Mars!$L$54</f>
        <v/>
      </c>
      <c r="I6" s="1145">
        <f>Mars!$M$54</f>
        <v/>
      </c>
      <c r="J6" s="1146">
        <f>Mars!$K$54</f>
        <v/>
      </c>
      <c r="K6" s="1147">
        <f>SUM(C6:J6)</f>
        <v/>
      </c>
    </row>
    <row r="7" ht="25.5" customHeight="1">
      <c r="B7" s="386" t="inlineStr">
        <is>
          <t>Avril</t>
        </is>
      </c>
      <c r="C7" s="1139">
        <f>Avril!$D$54</f>
        <v/>
      </c>
      <c r="D7" s="1140">
        <f>Avril!$E$54</f>
        <v/>
      </c>
      <c r="E7" s="1141">
        <f>Avril!$F$54</f>
        <v/>
      </c>
      <c r="F7" s="1142">
        <f>Avril!$I$54</f>
        <v/>
      </c>
      <c r="G7" s="1143">
        <f>Avril!$J$54</f>
        <v/>
      </c>
      <c r="H7" s="1144">
        <f>Avril!$L$54</f>
        <v/>
      </c>
      <c r="I7" s="1145">
        <f>Avril!$M$54</f>
        <v/>
      </c>
      <c r="J7" s="1146">
        <f>Avril!$K$54</f>
        <v/>
      </c>
      <c r="K7" s="1147">
        <f>SUM(C7:J7)</f>
        <v/>
      </c>
    </row>
    <row r="8" ht="25.5" customHeight="1">
      <c r="B8" s="387" t="inlineStr">
        <is>
          <t>Mai</t>
        </is>
      </c>
      <c r="C8" s="1139">
        <f>Mai!$D$54</f>
        <v/>
      </c>
      <c r="D8" s="1140">
        <f>Mai!$E$54</f>
        <v/>
      </c>
      <c r="E8" s="1141">
        <f>Mai!$F$54</f>
        <v/>
      </c>
      <c r="F8" s="1142">
        <f>Mai!$I$54</f>
        <v/>
      </c>
      <c r="G8" s="1143">
        <f>Mai!$J$54</f>
        <v/>
      </c>
      <c r="H8" s="1144">
        <f>Mai!$L$54</f>
        <v/>
      </c>
      <c r="I8" s="1145">
        <f>Mai!$M$54</f>
        <v/>
      </c>
      <c r="J8" s="1146">
        <f>Mai!$K$54</f>
        <v/>
      </c>
      <c r="K8" s="1147">
        <f>SUM(C8:J8)</f>
        <v/>
      </c>
    </row>
    <row r="9" ht="25.5" customHeight="1">
      <c r="B9" s="387" t="inlineStr">
        <is>
          <t>Juin</t>
        </is>
      </c>
      <c r="C9" s="1139">
        <f>Juin!$D$54</f>
        <v/>
      </c>
      <c r="D9" s="1140">
        <f>Juin!$E$54</f>
        <v/>
      </c>
      <c r="E9" s="1141">
        <f>Juin!$F$54</f>
        <v/>
      </c>
      <c r="F9" s="1142">
        <f>Juin!$I$54</f>
        <v/>
      </c>
      <c r="G9" s="1143">
        <f>Juin!$J$54</f>
        <v/>
      </c>
      <c r="H9" s="1144">
        <f>Juin!$L$54</f>
        <v/>
      </c>
      <c r="I9" s="1145">
        <f>Juin!$M$54</f>
        <v/>
      </c>
      <c r="J9" s="1146">
        <f>Juin!$K$54</f>
        <v/>
      </c>
      <c r="K9" s="1147">
        <f>SUM(C9:J9)</f>
        <v/>
      </c>
    </row>
    <row r="10" ht="25.5" customHeight="1">
      <c r="B10" s="386" t="inlineStr">
        <is>
          <t>Juillet</t>
        </is>
      </c>
      <c r="C10" s="1139">
        <f>Juillet!$D$54</f>
        <v/>
      </c>
      <c r="D10" s="1140">
        <f>Juillet!$E$54</f>
        <v/>
      </c>
      <c r="E10" s="1141">
        <f>Juillet!$F$54</f>
        <v/>
      </c>
      <c r="F10" s="1142">
        <f>Juillet!$I$54</f>
        <v/>
      </c>
      <c r="G10" s="1143">
        <f>Juillet!$J$54</f>
        <v/>
      </c>
      <c r="H10" s="1144">
        <f>Juillet!$L$54</f>
        <v/>
      </c>
      <c r="I10" s="1145">
        <f>Juillet!$M$54</f>
        <v/>
      </c>
      <c r="J10" s="1146">
        <f>Juillet!$K$54</f>
        <v/>
      </c>
      <c r="K10" s="1147">
        <f>SUM(C10:J10)</f>
        <v/>
      </c>
    </row>
    <row r="11" ht="25.5" customHeight="1">
      <c r="B11" s="387" t="inlineStr">
        <is>
          <t>Août</t>
        </is>
      </c>
      <c r="C11" s="1139">
        <f>Aout!$D$54</f>
        <v/>
      </c>
      <c r="D11" s="1140">
        <f>Aout!$E$54</f>
        <v/>
      </c>
      <c r="E11" s="1141">
        <f>Aout!$F$54</f>
        <v/>
      </c>
      <c r="F11" s="1142">
        <f>Aout!$I$54</f>
        <v/>
      </c>
      <c r="G11" s="1143">
        <f>Aout!$J$54</f>
        <v/>
      </c>
      <c r="H11" s="1144">
        <f>Aout!$L$54</f>
        <v/>
      </c>
      <c r="I11" s="1145">
        <f>Aout!$M$54</f>
        <v/>
      </c>
      <c r="J11" s="1146">
        <f>Aout!$K$54</f>
        <v/>
      </c>
      <c r="K11" s="1147">
        <f>SUM(C11:J11)</f>
        <v/>
      </c>
    </row>
    <row r="12" ht="25.5" customHeight="1">
      <c r="B12" s="387" t="inlineStr">
        <is>
          <t>Septembre</t>
        </is>
      </c>
      <c r="C12" s="1139">
        <f>Septembre!$D$54</f>
        <v/>
      </c>
      <c r="D12" s="1140">
        <f>Septembre!$E$54</f>
        <v/>
      </c>
      <c r="E12" s="1141">
        <f>Septembre!$F$54</f>
        <v/>
      </c>
      <c r="F12" s="1142">
        <f>Septembre!$I$54</f>
        <v/>
      </c>
      <c r="G12" s="1143">
        <f>Septembre!$J$54</f>
        <v/>
      </c>
      <c r="H12" s="1144">
        <f>Septembre!$L$54</f>
        <v/>
      </c>
      <c r="I12" s="1145">
        <f>Septembre!$M$54</f>
        <v/>
      </c>
      <c r="J12" s="1146">
        <f>Septembre!$K$54</f>
        <v/>
      </c>
      <c r="K12" s="1147">
        <f>SUM(C12:J12)</f>
        <v/>
      </c>
    </row>
    <row r="13" ht="25.5" customHeight="1">
      <c r="B13" s="386" t="inlineStr">
        <is>
          <t>Octobre</t>
        </is>
      </c>
      <c r="C13" s="1139">
        <f>Octobre!$D$54</f>
        <v/>
      </c>
      <c r="D13" s="1140">
        <f>Octobre!$E$54</f>
        <v/>
      </c>
      <c r="E13" s="1141">
        <f>Octobre!$F$54</f>
        <v/>
      </c>
      <c r="F13" s="1142">
        <f>Octobre!$I$54</f>
        <v/>
      </c>
      <c r="G13" s="1143">
        <f>Octobre!$J$54</f>
        <v/>
      </c>
      <c r="H13" s="1144">
        <f>Octobre!$L$54</f>
        <v/>
      </c>
      <c r="I13" s="1145">
        <f>Octobre!$M$54</f>
        <v/>
      </c>
      <c r="J13" s="1146">
        <f>Octobre!$K$54</f>
        <v/>
      </c>
      <c r="K13" s="1147">
        <f>SUM(C13:J13)</f>
        <v/>
      </c>
    </row>
    <row r="14" ht="25.5" customHeight="1">
      <c r="B14" s="387" t="inlineStr">
        <is>
          <t>Novembre</t>
        </is>
      </c>
      <c r="C14" s="1139">
        <f>Novembre!$D$54</f>
        <v/>
      </c>
      <c r="D14" s="1140">
        <f>Novembre!$E$54</f>
        <v/>
      </c>
      <c r="E14" s="1141">
        <f>Novembre!$F$54</f>
        <v/>
      </c>
      <c r="F14" s="1142">
        <f>Novembre!$I$54</f>
        <v/>
      </c>
      <c r="G14" s="1143">
        <f>Novembre!$J$54</f>
        <v/>
      </c>
      <c r="H14" s="1144">
        <f>Novembre!$L$54</f>
        <v/>
      </c>
      <c r="I14" s="1145">
        <f>Novembre!$M$54</f>
        <v/>
      </c>
      <c r="J14" s="1146">
        <f>Novembre!$K$54</f>
        <v/>
      </c>
      <c r="K14" s="1147">
        <f>SUM(C14:J14)</f>
        <v/>
      </c>
    </row>
    <row r="15" ht="25" customHeight="1">
      <c r="B15" s="386" t="inlineStr">
        <is>
          <t>Décembre</t>
        </is>
      </c>
      <c r="C15" s="1139">
        <f>Décembre!$D$54</f>
        <v/>
      </c>
      <c r="D15" s="1140">
        <f>Décembre!$E$54</f>
        <v/>
      </c>
      <c r="E15" s="1141">
        <f>Décembre!$F$54</f>
        <v/>
      </c>
      <c r="F15" s="1142">
        <f>Décembre!$I$54</f>
        <v/>
      </c>
      <c r="G15" s="1143">
        <f>Décembre!$J$54</f>
        <v/>
      </c>
      <c r="H15" s="1144">
        <f>Décembre!$L$54</f>
        <v/>
      </c>
      <c r="I15" s="1145">
        <f>Décembre!$M$54</f>
        <v/>
      </c>
      <c r="J15" s="1146">
        <f>Décembre!$K$54</f>
        <v/>
      </c>
      <c r="K15" s="1147">
        <f>SUM(C15:J15)</f>
        <v/>
      </c>
    </row>
    <row r="16" ht="20.15" customHeight="1" thickBot="1">
      <c r="B16" s="368" t="inlineStr">
        <is>
          <t>Cumul</t>
        </is>
      </c>
      <c r="C16" s="1148">
        <f>SUM(C4:C15)</f>
        <v/>
      </c>
      <c r="D16" s="1140">
        <f>SUM(D4:D15)</f>
        <v/>
      </c>
      <c r="E16" s="1141">
        <f>SUM(E4:E15)</f>
        <v/>
      </c>
      <c r="F16" s="1142">
        <f>SUM(F4:F15)</f>
        <v/>
      </c>
      <c r="G16" s="1143">
        <f>SUM(G4:G15)</f>
        <v/>
      </c>
      <c r="H16" s="1144">
        <f>SUM(H4:H15)</f>
        <v/>
      </c>
      <c r="I16" s="1145">
        <f>SUM(I4:I15)</f>
        <v/>
      </c>
      <c r="J16" s="1146">
        <f>SUM(J4:J15)</f>
        <v/>
      </c>
      <c r="K16" s="1149">
        <f>SUM(C16:J16)</f>
        <v/>
      </c>
      <c r="L16" s="1150" t="n"/>
    </row>
    <row r="17" ht="15" customHeight="1" thickBot="1">
      <c r="B17" s="369" t="inlineStr">
        <is>
          <t xml:space="preserve">Part </t>
        </is>
      </c>
      <c r="C17" s="367">
        <f>C16/$K$16</f>
        <v/>
      </c>
      <c r="D17" s="367">
        <f>D16/$K$16</f>
        <v/>
      </c>
      <c r="E17" s="367">
        <f>E16/$K$16</f>
        <v/>
      </c>
      <c r="F17" s="367">
        <f>F16/$K$16</f>
        <v/>
      </c>
      <c r="G17" s="367">
        <f>G16/$K$16</f>
        <v/>
      </c>
      <c r="H17" s="367">
        <f>H16/$K$16</f>
        <v/>
      </c>
      <c r="I17" s="367">
        <f>I16/$K$16</f>
        <v/>
      </c>
      <c r="J17" s="367">
        <f>J16/$K$16</f>
        <v/>
      </c>
    </row>
    <row r="18" ht="339" customHeight="1">
      <c r="C18" s="1003" t="n"/>
    </row>
    <row r="19" ht="15" customHeight="1" thickBot="1"/>
    <row r="20">
      <c r="B20" s="1129" t="inlineStr">
        <is>
          <t>RO Généré par Département sur Clients O&amp;G (Après rétrocessions)</t>
        </is>
      </c>
      <c r="C20" s="1010" t="n"/>
      <c r="D20" s="1010" t="n"/>
      <c r="E20" s="1010" t="n"/>
      <c r="F20" s="1010" t="n"/>
      <c r="G20" s="1010" t="n"/>
      <c r="H20" s="1010" t="n"/>
      <c r="I20" s="1010" t="n"/>
      <c r="J20" s="1010" t="n"/>
      <c r="K20" s="1011" t="n"/>
    </row>
    <row r="21" ht="15" customHeight="1" thickBot="1">
      <c r="B21" s="59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</row>
    <row r="22" ht="15" customHeight="1" thickBot="1">
      <c r="B22" s="339" t="n"/>
      <c r="C22" s="341" t="inlineStr">
        <is>
          <t>Base O&amp;G</t>
        </is>
      </c>
      <c r="D22" s="337" t="inlineStr">
        <is>
          <t>Import Maritime</t>
        </is>
      </c>
      <c r="E22" s="335" t="inlineStr">
        <is>
          <t>Hinterland</t>
        </is>
      </c>
      <c r="F22" s="332" t="inlineStr">
        <is>
          <t>Aérien</t>
        </is>
      </c>
      <c r="G22" s="330" t="inlineStr">
        <is>
          <t>Export Maritime</t>
        </is>
      </c>
      <c r="H22" s="328" t="inlineStr">
        <is>
          <t>Afritramp</t>
        </is>
      </c>
      <c r="I22" s="326" t="inlineStr">
        <is>
          <t>Meet &amp; Greet</t>
        </is>
      </c>
      <c r="J22" s="324" t="inlineStr">
        <is>
          <t>SIRT / LEVAGE</t>
        </is>
      </c>
      <c r="K22" s="8" t="inlineStr">
        <is>
          <t>TOTAL GENERE</t>
        </is>
      </c>
    </row>
    <row r="23">
      <c r="B23" s="1151" t="inlineStr">
        <is>
          <t>Janvier</t>
        </is>
      </c>
      <c r="C23" s="364" t="n"/>
      <c r="D23" s="402" t="n"/>
      <c r="E23" s="403" t="n"/>
      <c r="F23" s="404" t="n"/>
      <c r="G23" s="405" t="n"/>
      <c r="H23" s="396" t="n"/>
      <c r="I23" s="397" t="n"/>
      <c r="J23" s="346" t="n"/>
      <c r="K23" s="347">
        <f>K24/K4</f>
        <v/>
      </c>
    </row>
    <row r="24" ht="15" customHeight="1" thickBot="1">
      <c r="A24" s="1069" t="n"/>
      <c r="B24" s="59" t="n"/>
      <c r="C24" s="1152" t="n">
        <v>58198</v>
      </c>
      <c r="D24" s="1153">
        <f>D23*D4</f>
        <v/>
      </c>
      <c r="E24" s="1154">
        <f>E23*E4</f>
        <v/>
      </c>
      <c r="F24" s="1155">
        <f>F23*F4</f>
        <v/>
      </c>
      <c r="G24" s="1156">
        <f>G23*G4</f>
        <v/>
      </c>
      <c r="H24" s="1157">
        <f>H23*H4</f>
        <v/>
      </c>
      <c r="I24" s="1158">
        <f>I23*I4</f>
        <v/>
      </c>
      <c r="J24" s="1159">
        <f>J23*J4</f>
        <v/>
      </c>
      <c r="K24" s="1160">
        <f>SUM(C24:J24)</f>
        <v/>
      </c>
    </row>
    <row r="25">
      <c r="B25" s="1151" t="inlineStr">
        <is>
          <t>Février</t>
        </is>
      </c>
      <c r="C25" s="364" t="n"/>
      <c r="D25" s="402" t="n"/>
      <c r="E25" s="403" t="n"/>
      <c r="F25" s="404" t="n"/>
      <c r="G25" s="405" t="n"/>
      <c r="H25" s="396" t="n"/>
      <c r="I25" s="397" t="n"/>
      <c r="J25" s="346" t="n"/>
      <c r="K25" s="347">
        <f>K26/K5</f>
        <v/>
      </c>
    </row>
    <row r="26" ht="15" customHeight="1" thickBot="1">
      <c r="A26" s="1069" t="n"/>
      <c r="B26" s="59" t="n"/>
      <c r="C26" s="1152" t="n">
        <v>76867</v>
      </c>
      <c r="D26" s="1153">
        <f>D25*D5</f>
        <v/>
      </c>
      <c r="E26" s="1154">
        <f>E25*E5</f>
        <v/>
      </c>
      <c r="F26" s="1155">
        <f>F25*F5</f>
        <v/>
      </c>
      <c r="G26" s="1156">
        <f>G25*G5</f>
        <v/>
      </c>
      <c r="H26" s="1157">
        <f>H25*H5</f>
        <v/>
      </c>
      <c r="I26" s="1158">
        <f>I25*I5</f>
        <v/>
      </c>
      <c r="J26" s="1159">
        <f>J25*J5</f>
        <v/>
      </c>
      <c r="K26" s="1160">
        <f>SUM(C26:J26)</f>
        <v/>
      </c>
    </row>
    <row r="27">
      <c r="B27" s="1151" t="inlineStr">
        <is>
          <t>Mars</t>
        </is>
      </c>
      <c r="C27" s="364" t="n"/>
      <c r="D27" s="402" t="n"/>
      <c r="E27" s="403" t="n"/>
      <c r="F27" s="404" t="n"/>
      <c r="G27" s="405" t="n"/>
      <c r="H27" s="396" t="n"/>
      <c r="I27" s="397" t="n"/>
      <c r="J27" s="346" t="n"/>
      <c r="K27" s="347">
        <f>K28/K6</f>
        <v/>
      </c>
    </row>
    <row r="28" ht="15" customHeight="1" thickBot="1">
      <c r="A28" s="1069" t="n"/>
      <c r="B28" s="59" t="n"/>
      <c r="C28" s="1152" t="n">
        <v>37939</v>
      </c>
      <c r="D28" s="1153">
        <f>D27*D6</f>
        <v/>
      </c>
      <c r="E28" s="1154">
        <f>E27*E6</f>
        <v/>
      </c>
      <c r="F28" s="1155">
        <f>F27*F6</f>
        <v/>
      </c>
      <c r="G28" s="1156">
        <f>G27*G6</f>
        <v/>
      </c>
      <c r="H28" s="1157">
        <f>H27*H6</f>
        <v/>
      </c>
      <c r="I28" s="1158">
        <f>I27*I6</f>
        <v/>
      </c>
      <c r="J28" s="1159">
        <f>J27*J6</f>
        <v/>
      </c>
      <c r="K28" s="1160">
        <f>SUM(C28:J28)</f>
        <v/>
      </c>
    </row>
    <row r="29">
      <c r="B29" s="1151" t="inlineStr">
        <is>
          <t>Avril</t>
        </is>
      </c>
      <c r="C29" s="364" t="n"/>
      <c r="D29" s="402" t="n"/>
      <c r="E29" s="403" t="n"/>
      <c r="F29" s="404" t="n"/>
      <c r="G29" s="405" t="n"/>
      <c r="H29" s="396" t="n"/>
      <c r="I29" s="397" t="n"/>
      <c r="J29" s="400" t="n"/>
      <c r="K29" s="347">
        <f>K30/#REF!</f>
        <v/>
      </c>
    </row>
    <row r="30" ht="15" customHeight="1" thickBot="1">
      <c r="A30" s="1069" t="n"/>
      <c r="B30" s="59" t="n"/>
      <c r="C30" s="1152" t="n">
        <v>39815</v>
      </c>
      <c r="D30" s="1153">
        <f>D29*#REF!</f>
        <v/>
      </c>
      <c r="E30" s="1154">
        <f>E29*#REF!</f>
        <v/>
      </c>
      <c r="F30" s="1155">
        <f>F29*#REF!</f>
        <v/>
      </c>
      <c r="G30" s="1156">
        <f>G29*#REF!</f>
        <v/>
      </c>
      <c r="H30" s="1157">
        <f>H29*#REF!</f>
        <v/>
      </c>
      <c r="I30" s="1158">
        <f>I29*#REF!</f>
        <v/>
      </c>
      <c r="J30" s="1161">
        <f>J29*#REF!</f>
        <v/>
      </c>
      <c r="K30" s="1160">
        <f>SUM(C30:J30)</f>
        <v/>
      </c>
    </row>
    <row r="31" customFormat="1" s="299">
      <c r="B31" s="1151" t="inlineStr">
        <is>
          <t>Mai</t>
        </is>
      </c>
      <c r="C31" s="364" t="n"/>
      <c r="D31" s="402" t="n"/>
      <c r="E31" s="403" t="n"/>
      <c r="F31" s="404" t="n"/>
      <c r="G31" s="405" t="n"/>
      <c r="H31" s="396" t="n"/>
      <c r="I31" s="397" t="n"/>
      <c r="J31" s="400" t="n"/>
      <c r="K31" s="455">
        <f>K32/#REF!</f>
        <v/>
      </c>
    </row>
    <row r="32" ht="15" customHeight="1" thickBot="1">
      <c r="A32" s="1069" t="n"/>
      <c r="B32" s="59" t="n"/>
      <c r="C32" s="1162" t="n">
        <v>59120</v>
      </c>
      <c r="D32" s="1163">
        <f>D31*#REF!</f>
        <v/>
      </c>
      <c r="E32" s="1164">
        <f>E31*#REF!</f>
        <v/>
      </c>
      <c r="F32" s="1165">
        <f>F31*#REF!</f>
        <v/>
      </c>
      <c r="G32" s="1166">
        <f>G31*#REF!</f>
        <v/>
      </c>
      <c r="H32" s="1157">
        <f>H31*#REF!</f>
        <v/>
      </c>
      <c r="I32" s="1158">
        <f>I31*#REF!</f>
        <v/>
      </c>
      <c r="J32" s="1167">
        <f>J31*#REF!</f>
        <v/>
      </c>
      <c r="K32" s="1160">
        <f>SUM(C32:J32)</f>
        <v/>
      </c>
    </row>
    <row r="33">
      <c r="B33" s="1151" t="inlineStr">
        <is>
          <t>Juin</t>
        </is>
      </c>
      <c r="C33" s="364" t="n"/>
      <c r="D33" s="402" t="n"/>
      <c r="E33" s="403" t="n"/>
      <c r="F33" s="404" t="n"/>
      <c r="G33" s="405" t="n"/>
      <c r="H33" s="396" t="n"/>
      <c r="I33" s="397" t="n"/>
      <c r="J33" s="400" t="n"/>
      <c r="K33" s="455">
        <f>K34/#REF!</f>
        <v/>
      </c>
    </row>
    <row r="34" ht="15" customHeight="1" thickBot="1">
      <c r="A34" s="1069" t="n"/>
      <c r="B34" s="59" t="n"/>
      <c r="C34" s="1152" t="n">
        <v>44460</v>
      </c>
      <c r="D34" s="1153">
        <f>D33*#REF!</f>
        <v/>
      </c>
      <c r="E34" s="1154">
        <f>E33*#REF!</f>
        <v/>
      </c>
      <c r="F34" s="1155">
        <f>F33*#REF!</f>
        <v/>
      </c>
      <c r="G34" s="1156">
        <f>G33*#REF!</f>
        <v/>
      </c>
      <c r="H34" s="1157">
        <f>H33*#REF!</f>
        <v/>
      </c>
      <c r="I34" s="1158">
        <f>I33*#REF!</f>
        <v/>
      </c>
      <c r="J34" s="1161">
        <f>J33*#REF!</f>
        <v/>
      </c>
      <c r="K34" s="1168">
        <f>SUM(C34:J34)</f>
        <v/>
      </c>
    </row>
    <row r="35">
      <c r="B35" s="1151" t="inlineStr">
        <is>
          <t>Juillet</t>
        </is>
      </c>
      <c r="C35" s="364" t="n"/>
      <c r="D35" s="402" t="n"/>
      <c r="E35" s="403" t="n"/>
      <c r="F35" s="404" t="n"/>
      <c r="G35" s="405" t="n"/>
      <c r="H35" s="396" t="n"/>
      <c r="I35" s="397" t="n"/>
      <c r="J35" s="400" t="n"/>
      <c r="K35" s="347">
        <f>K36/#REF!</f>
        <v/>
      </c>
    </row>
    <row r="36" ht="15" customHeight="1" thickBot="1">
      <c r="A36" s="1069" t="n"/>
      <c r="B36" s="59" t="n"/>
      <c r="C36" s="1162" t="n">
        <v>19556</v>
      </c>
      <c r="D36" s="1163">
        <f>D35*#REF!</f>
        <v/>
      </c>
      <c r="E36" s="1164">
        <f>E35*#REF!</f>
        <v/>
      </c>
      <c r="F36" s="1165">
        <f>F35*#REF!</f>
        <v/>
      </c>
      <c r="G36" s="1166">
        <f>G35*#REF!</f>
        <v/>
      </c>
      <c r="H36" s="1169">
        <f>H35*#REF!</f>
        <v/>
      </c>
      <c r="I36" s="1170">
        <f>I35*#REF!</f>
        <v/>
      </c>
      <c r="J36" s="1167">
        <f>J35*#REF!</f>
        <v/>
      </c>
      <c r="K36" s="1160">
        <f>SUM(C36:J36)</f>
        <v/>
      </c>
    </row>
    <row r="37">
      <c r="B37" s="1151" t="inlineStr">
        <is>
          <t>Août</t>
        </is>
      </c>
      <c r="C37" s="357" t="n"/>
      <c r="D37" s="358" t="n"/>
      <c r="E37" s="359" t="n"/>
      <c r="F37" s="344" t="n"/>
      <c r="G37" s="360" t="n"/>
      <c r="H37" s="361" t="n"/>
      <c r="I37" s="362" t="n"/>
      <c r="J37" s="363" t="n"/>
      <c r="K37" s="347">
        <f>K38/#REF!</f>
        <v/>
      </c>
    </row>
    <row r="38" ht="15" customHeight="1" thickBot="1">
      <c r="A38" s="1069" t="n"/>
      <c r="B38" s="59" t="n"/>
      <c r="C38" s="1162" t="n">
        <v>41107</v>
      </c>
      <c r="D38" s="1163">
        <f>D37*#REF!</f>
        <v/>
      </c>
      <c r="E38" s="1164">
        <f>E37*#REF!</f>
        <v/>
      </c>
      <c r="F38" s="1165">
        <f>F37*#REF!</f>
        <v/>
      </c>
      <c r="G38" s="1166">
        <f>G37*#REF!</f>
        <v/>
      </c>
      <c r="H38" s="1169">
        <f>H37*#REF!</f>
        <v/>
      </c>
      <c r="I38" s="1170">
        <f>I37*#REF!</f>
        <v/>
      </c>
      <c r="J38" s="1167">
        <f>J37*#REF!</f>
        <v/>
      </c>
      <c r="K38" s="1160">
        <f>SUM(C38:J38)</f>
        <v/>
      </c>
    </row>
    <row r="39">
      <c r="B39" s="1151" t="inlineStr">
        <is>
          <t>Septembre</t>
        </is>
      </c>
      <c r="C39" s="357" t="n"/>
      <c r="D39" s="358" t="n"/>
      <c r="E39" s="359" t="n"/>
      <c r="F39" s="344" t="n"/>
      <c r="G39" s="360" t="n"/>
      <c r="H39" s="361" t="n"/>
      <c r="I39" s="362" t="n"/>
      <c r="J39" s="363" t="n"/>
      <c r="K39" s="347">
        <f>K40/#REF!</f>
        <v/>
      </c>
    </row>
    <row r="40" ht="15" customHeight="1" thickBot="1">
      <c r="A40" s="1069" t="n"/>
      <c r="B40" s="59" t="n"/>
      <c r="C40" s="1162" t="n">
        <v>37394</v>
      </c>
      <c r="D40" s="1163">
        <f>D39*#REF!</f>
        <v/>
      </c>
      <c r="E40" s="1164">
        <f>E39*#REF!</f>
        <v/>
      </c>
      <c r="F40" s="1165">
        <f>F39*#REF!</f>
        <v/>
      </c>
      <c r="G40" s="1166">
        <f>G39*#REF!</f>
        <v/>
      </c>
      <c r="H40" s="1169">
        <f>H39*#REF!</f>
        <v/>
      </c>
      <c r="I40" s="1170">
        <f>I39*#REF!</f>
        <v/>
      </c>
      <c r="J40" s="1167">
        <f>J39*#REF!</f>
        <v/>
      </c>
      <c r="K40" s="1160">
        <f>SUM(C40:J40)</f>
        <v/>
      </c>
    </row>
    <row r="41" customFormat="1" s="299">
      <c r="B41" s="1151" t="inlineStr">
        <is>
          <t>Octobre</t>
        </is>
      </c>
      <c r="C41" s="364" t="n"/>
      <c r="D41" s="402" t="n"/>
      <c r="E41" s="403" t="n"/>
      <c r="F41" s="404" t="n"/>
      <c r="G41" s="405" t="n"/>
      <c r="H41" s="396" t="n"/>
      <c r="I41" s="397" t="n"/>
      <c r="J41" s="400" t="n"/>
      <c r="K41" s="455">
        <f>K42/#REF!</f>
        <v/>
      </c>
    </row>
    <row r="42" ht="15" customHeight="1" thickBot="1">
      <c r="A42" s="1069" t="n"/>
      <c r="B42" s="59" t="n"/>
      <c r="C42" s="1162" t="n">
        <v>70199</v>
      </c>
      <c r="D42" s="1163">
        <f>D41*#REF!</f>
        <v/>
      </c>
      <c r="E42" s="1164">
        <f>E41*#REF!</f>
        <v/>
      </c>
      <c r="F42" s="1165">
        <f>F41*#REF!</f>
        <v/>
      </c>
      <c r="G42" s="1166">
        <f>G41*#REF!</f>
        <v/>
      </c>
      <c r="H42" s="1169">
        <f>H41*#REF!</f>
        <v/>
      </c>
      <c r="I42" s="1170">
        <f>I41*#REF!</f>
        <v/>
      </c>
      <c r="J42" s="1167">
        <f>J41*#REF!</f>
        <v/>
      </c>
      <c r="K42" s="1160">
        <f>SUM(C42:J42)</f>
        <v/>
      </c>
    </row>
    <row r="43">
      <c r="B43" s="1151" t="inlineStr">
        <is>
          <t>Novembre</t>
        </is>
      </c>
      <c r="C43" s="357" t="n"/>
      <c r="D43" s="358" t="n"/>
      <c r="E43" s="359" t="n"/>
      <c r="F43" s="344" t="n"/>
      <c r="G43" s="360" t="n"/>
      <c r="H43" s="361" t="n"/>
      <c r="I43" s="362" t="n"/>
      <c r="J43" s="363" t="n"/>
      <c r="K43" s="347">
        <f>K44/#REF!</f>
        <v/>
      </c>
    </row>
    <row r="44" ht="15" customHeight="1" thickBot="1">
      <c r="A44" s="1069" t="n"/>
      <c r="B44" s="59" t="n"/>
      <c r="C44" s="1162" t="n">
        <v>41339</v>
      </c>
      <c r="D44" s="1163">
        <f>D43*#REF!</f>
        <v/>
      </c>
      <c r="E44" s="1164">
        <f>E43*#REF!</f>
        <v/>
      </c>
      <c r="F44" s="1165">
        <f>F43*#REF!</f>
        <v/>
      </c>
      <c r="G44" s="1166">
        <f>G43*#REF!</f>
        <v/>
      </c>
      <c r="H44" s="1169">
        <f>H43*#REF!</f>
        <v/>
      </c>
      <c r="I44" s="1170">
        <f>I43*#REF!</f>
        <v/>
      </c>
      <c r="J44" s="1167">
        <f>J43*#REF!</f>
        <v/>
      </c>
      <c r="K44" s="1160">
        <f>SUM(C44:J44)</f>
        <v/>
      </c>
    </row>
    <row r="45">
      <c r="B45" s="1151" t="inlineStr">
        <is>
          <t>Décembre</t>
        </is>
      </c>
      <c r="C45" s="364" t="n"/>
      <c r="D45" s="402" t="n"/>
      <c r="E45" s="403" t="n"/>
      <c r="F45" s="404" t="n"/>
      <c r="G45" s="405" t="n"/>
      <c r="H45" s="396" t="n"/>
      <c r="I45" s="397" t="n"/>
      <c r="J45" s="400" t="n"/>
      <c r="K45" s="347">
        <f>K46/#REF!</f>
        <v/>
      </c>
    </row>
    <row r="46" ht="15" customHeight="1" thickBot="1">
      <c r="A46" s="1069" t="n"/>
      <c r="B46" s="59" t="n"/>
      <c r="C46" s="1171">
        <f>C45*#REF!</f>
        <v/>
      </c>
      <c r="D46" s="1172">
        <f>D45*#REF!</f>
        <v/>
      </c>
      <c r="E46" s="1173">
        <f>E45*#REF!</f>
        <v/>
      </c>
      <c r="F46" s="1174">
        <f>F45*#REF!</f>
        <v/>
      </c>
      <c r="G46" s="1175">
        <f>G45*#REF!</f>
        <v/>
      </c>
      <c r="H46" s="1176">
        <f>H45*#REF!</f>
        <v/>
      </c>
      <c r="I46" s="1177">
        <f>I45*#REF!</f>
        <v/>
      </c>
      <c r="J46" s="1178">
        <f>J45*#REF!</f>
        <v/>
      </c>
      <c r="K46" s="1160">
        <f>SUM(C46:J46)</f>
        <v/>
      </c>
    </row>
    <row r="47" ht="15" customHeight="1" thickBot="1">
      <c r="B47" s="113" t="inlineStr">
        <is>
          <t>Cumul</t>
        </is>
      </c>
      <c r="C47" s="1179">
        <f>C46+C44+C42+C40+C38+C36+C34+C32+C30+C28+C26+C24</f>
        <v/>
      </c>
      <c r="D47" s="1180">
        <f>D46+D44+D42+D40+D38+D36+D34+D32+D30+D28+D26+D24</f>
        <v/>
      </c>
      <c r="E47" s="1181">
        <f>E46+E44+E42+E40+E38+E36+E34+E32+E30+E28+E26+E24</f>
        <v/>
      </c>
      <c r="F47" s="1182">
        <f>F46+F44+F42+F40+F38+F36+F34+F32+F30+F28+F26+F24</f>
        <v/>
      </c>
      <c r="G47" s="1183">
        <f>G46+G44+G42+G40+G38+G36+G34+G32+G30+G28+G26+G24</f>
        <v/>
      </c>
      <c r="H47" s="1184">
        <f>H46+H44+H42+H40+H38+H36+H34+H32+H30+H28+H26+H24</f>
        <v/>
      </c>
      <c r="I47" s="1185">
        <f>I46+I44+I42+I40+I38+I36+I34+I32+I30+I28+I26+I24</f>
        <v/>
      </c>
      <c r="J47" s="1186">
        <f>J46+J44+J42+J40+J38+J36+J34+J32+J30+J28+J26+J24</f>
        <v/>
      </c>
      <c r="K47" s="1187">
        <f>SUM(C47:J47)</f>
        <v/>
      </c>
    </row>
    <row r="48" ht="15" customHeight="1" thickBot="1">
      <c r="B48" s="340" t="inlineStr">
        <is>
          <t xml:space="preserve">Part </t>
        </is>
      </c>
      <c r="C48" s="334">
        <f>C47/$K$47</f>
        <v/>
      </c>
      <c r="D48" s="334">
        <f>D47/$K$47</f>
        <v/>
      </c>
      <c r="E48" s="334">
        <f>E47/$K$47</f>
        <v/>
      </c>
      <c r="F48" s="334">
        <f>F47/$K$47</f>
        <v/>
      </c>
      <c r="G48" s="334">
        <f>G47/$K$47</f>
        <v/>
      </c>
      <c r="H48" s="334">
        <f>H47/$K$47</f>
        <v/>
      </c>
      <c r="I48" s="334">
        <f>I47/$K$47</f>
        <v/>
      </c>
      <c r="J48" s="334">
        <f>J47/$K$47</f>
        <v/>
      </c>
      <c r="K48" s="343" t="n"/>
    </row>
    <row r="49" ht="29.5" customHeight="1" thickBot="1">
      <c r="B49" s="530" t="inlineStr">
        <is>
          <t>RO  cumulé par activité</t>
        </is>
      </c>
      <c r="C49" s="531">
        <f>C47/C16</f>
        <v/>
      </c>
      <c r="D49" s="531">
        <f>D47/D16</f>
        <v/>
      </c>
      <c r="E49" s="531">
        <f>E47/E16</f>
        <v/>
      </c>
      <c r="F49" s="531">
        <f>F47/F16</f>
        <v/>
      </c>
      <c r="G49" s="531">
        <f>G47/G16</f>
        <v/>
      </c>
      <c r="H49" s="531">
        <f>H47/H16</f>
        <v/>
      </c>
      <c r="I49" s="531">
        <f>I47/I16</f>
        <v/>
      </c>
      <c r="J49" s="531">
        <f>J47/J16</f>
        <v/>
      </c>
      <c r="K49" s="532">
        <f>K47/K16</f>
        <v/>
      </c>
    </row>
    <row r="50">
      <c r="C50" s="1003" t="n"/>
    </row>
  </sheetData>
  <mergeCells count="14">
    <mergeCell ref="B1:K2"/>
    <mergeCell ref="B23:B24"/>
    <mergeCell ref="B39:B40"/>
    <mergeCell ref="B27:B28"/>
    <mergeCell ref="B45:B46"/>
    <mergeCell ref="B43:B44"/>
    <mergeCell ref="B33:B34"/>
    <mergeCell ref="B25:B26"/>
    <mergeCell ref="B41:B42"/>
    <mergeCell ref="B20:K21"/>
    <mergeCell ref="B37:B38"/>
    <mergeCell ref="B35:B36"/>
    <mergeCell ref="B29:B30"/>
    <mergeCell ref="B31:B32"/>
  </mergeCells>
  <pageMargins left="0.7" right="0.7" top="0.75" bottom="0.75" header="0.3" footer="0.3"/>
  <pageSetup orientation="portrait" paperSize="8" scale="81" fitToHeight="0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G63"/>
  <sheetViews>
    <sheetView topLeftCell="A2" zoomScale="124" zoomScaleNormal="124" workbookViewId="0">
      <pane xSplit="1" topLeftCell="B1" activePane="topRight" state="frozen"/>
      <selection activeCell="A4" sqref="A4"/>
      <selection pane="topRight" activeCell="A48" sqref="A48"/>
    </sheetView>
  </sheetViews>
  <sheetFormatPr baseColWidth="10" defaultRowHeight="14.5"/>
  <cols>
    <col width="34.81640625" bestFit="1" customWidth="1" min="1" max="1"/>
    <col width="15.1796875" bestFit="1" customWidth="1" style="1003" min="2" max="2"/>
    <col width="16.7265625" customWidth="1" min="3" max="3"/>
    <col width="19.54296875" bestFit="1" customWidth="1" min="4" max="4"/>
    <col width="17.7265625" bestFit="1" customWidth="1" min="5" max="5"/>
    <col width="16.26953125" bestFit="1" customWidth="1" style="1003" min="6" max="6"/>
    <col width="14.54296875" customWidth="1" style="1003" min="7" max="7"/>
    <col width="13.7265625" bestFit="1" customWidth="1" style="1003" min="8" max="8"/>
    <col width="19.1796875" bestFit="1" customWidth="1" style="1003" min="9" max="9"/>
    <col width="17.7265625" bestFit="1" customWidth="1" style="1003" min="10" max="10"/>
    <col width="14.7265625" customWidth="1" style="1003" min="11" max="11"/>
    <col width="16.26953125" customWidth="1" style="1003" min="12" max="12"/>
    <col width="28.26953125" bestFit="1" customWidth="1" style="1003" min="13" max="13"/>
    <col width="28.26953125" customWidth="1" style="1003" min="14" max="14"/>
    <col width="34.453125" customWidth="1" min="15" max="15"/>
    <col width="15.1796875" bestFit="1" customWidth="1" min="16" max="16"/>
    <col width="16.26953125" bestFit="1" customWidth="1" min="17" max="17"/>
    <col width="21.1796875" bestFit="1" customWidth="1" min="18" max="18"/>
    <col width="13.7265625" bestFit="1" customWidth="1" min="19" max="19"/>
    <col width="16.26953125" bestFit="1" customWidth="1" min="20" max="20"/>
    <col width="21.1796875" bestFit="1" customWidth="1" min="21" max="21"/>
    <col width="22.453125" customWidth="1" style="299" min="22" max="22"/>
    <col width="13.1796875" customWidth="1" min="23" max="23"/>
    <col width="15.1796875" bestFit="1" customWidth="1" min="24" max="24"/>
    <col width="16.26953125" bestFit="1" customWidth="1" min="25" max="25"/>
    <col width="21.1796875" bestFit="1" customWidth="1" min="26" max="26"/>
    <col width="21.1796875" bestFit="1" customWidth="1" style="299" min="27" max="27"/>
    <col width="12" bestFit="1" customWidth="1" min="28" max="28"/>
    <col hidden="1" width="7.453125" customWidth="1" min="29" max="29"/>
    <col hidden="1" width="15.7265625" customWidth="1" min="30" max="30"/>
    <col hidden="1" width="17.26953125" customWidth="1" min="31" max="31"/>
    <col hidden="1" width="19.81640625" customWidth="1" min="32" max="33"/>
    <col hidden="1" width="15.7265625" customWidth="1" min="34" max="35"/>
    <col hidden="1" width="17.26953125" customWidth="1" min="36" max="36"/>
    <col hidden="1" width="19.81640625" customWidth="1" min="37" max="38"/>
    <col hidden="1" width="15.7265625" customWidth="1" min="39" max="40"/>
    <col hidden="1" width="17.26953125" customWidth="1" min="41" max="41"/>
    <col hidden="1" width="19.81640625" customWidth="1" min="42" max="43"/>
    <col hidden="1" width="15.7265625" customWidth="1" min="44" max="44"/>
    <col hidden="1" width="15.1796875" customWidth="1" min="45" max="45"/>
    <col hidden="1" width="16.453125" customWidth="1" min="46" max="46"/>
    <col hidden="1" width="21.1796875" customWidth="1" min="47" max="47"/>
    <col hidden="1" width="19.54296875" customWidth="1" min="48" max="48"/>
    <col hidden="1" width="7.7265625" customWidth="1" min="49" max="49"/>
    <col hidden="1" width="15.1796875" customWidth="1" min="50" max="50"/>
    <col hidden="1" width="16.453125" customWidth="1" min="51" max="51"/>
    <col hidden="1" width="21.1796875" customWidth="1" min="52" max="52"/>
    <col hidden="1" width="15.1796875" customWidth="1" min="53" max="53"/>
    <col hidden="1" width="8.81640625" customWidth="1" min="54" max="54"/>
    <col hidden="1" width="15.1796875" customWidth="1" min="55" max="55"/>
    <col hidden="1" width="16.453125" customWidth="1" min="56" max="56"/>
    <col hidden="1" width="21.1796875" customWidth="1" min="57" max="57"/>
    <col hidden="1" width="13.7265625" customWidth="1" min="58" max="58"/>
    <col hidden="1" width="8.81640625" customWidth="1" min="59" max="59"/>
  </cols>
  <sheetData>
    <row r="1" ht="26.5" customHeight="1" thickBot="1">
      <c r="A1" t="n">
        <v>1</v>
      </c>
      <c r="B1" s="935" t="inlineStr">
        <is>
          <t>CAP Cumulé 2021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849" t="n"/>
      <c r="O1" s="972" t="inlineStr">
        <is>
          <t>VARIATION R 23 sur B23</t>
        </is>
      </c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310" t="n"/>
      <c r="AS1" s="996" t="inlineStr">
        <is>
          <t>VARIATION R 16 sur PFA 8 + 4 2016</t>
        </is>
      </c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</row>
    <row r="2" ht="16" customHeight="1" thickBot="1">
      <c r="A2" s="82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6" t="n"/>
      <c r="N2" s="1188" t="inlineStr">
        <is>
          <t>GW Margin EURO</t>
        </is>
      </c>
      <c r="O2" s="1189" t="inlineStr">
        <is>
          <t>R23 Cumulé</t>
        </is>
      </c>
      <c r="P2" s="1010" t="n"/>
      <c r="Q2" s="1010" t="n"/>
      <c r="R2" s="1011" t="n"/>
      <c r="S2" s="992" t="inlineStr">
        <is>
          <t>Variation Réel 23 Cumulé / B23 Prorata</t>
        </is>
      </c>
      <c r="T2" s="1010" t="n"/>
      <c r="U2" s="1010" t="n"/>
      <c r="V2" s="1010" t="n"/>
      <c r="W2" s="1011" t="n"/>
      <c r="X2" s="1190" t="inlineStr">
        <is>
          <t>Variation Réel 23 CUMULE / B23 COMPLET</t>
        </is>
      </c>
      <c r="Y2" s="1005" t="n"/>
      <c r="Z2" s="1005" t="n"/>
      <c r="AA2" s="1005" t="n"/>
      <c r="AB2" s="1006" t="n"/>
      <c r="AC2" s="986" t="n"/>
      <c r="AD2" s="1191" t="inlineStr">
        <is>
          <t>Variation Réel 15 CUMULE / PFA 4+ 8 2015 COMPLET</t>
        </is>
      </c>
      <c r="AE2" s="1005" t="n"/>
      <c r="AF2" s="1005" t="n"/>
      <c r="AG2" s="1005" t="n"/>
      <c r="AH2" s="1006" t="n"/>
      <c r="AI2" s="1192" t="inlineStr">
        <is>
          <t>Variation Réel 15 CUMULE / PFA 8+ 4 2015 COMPLET</t>
        </is>
      </c>
      <c r="AJ2" s="1005" t="n"/>
      <c r="AK2" s="1005" t="n"/>
      <c r="AL2" s="1005" t="n"/>
      <c r="AM2" s="1006" t="n"/>
      <c r="AN2" s="1193" t="inlineStr">
        <is>
          <t>Variation Réel 15 CUMULE / PFA 8+ 4 2015 Prorata</t>
        </is>
      </c>
      <c r="AO2" s="1005" t="n"/>
      <c r="AP2" s="1005" t="n"/>
      <c r="AQ2" s="1005" t="n"/>
      <c r="AR2" s="1006" t="n"/>
      <c r="AS2" s="1194" t="inlineStr">
        <is>
          <t>Variation B 16 PFA 4 + 8 / B16 COMPLET</t>
        </is>
      </c>
      <c r="AT2" s="1005" t="n"/>
      <c r="AU2" s="1005" t="n"/>
      <c r="AV2" s="1005" t="n"/>
      <c r="AW2" s="1006" t="n"/>
      <c r="AX2" s="1194" t="inlineStr">
        <is>
          <t>Variation Reel 2016 / B 16 PFA 8 + 4  Prorata</t>
        </is>
      </c>
      <c r="AY2" s="1005" t="n"/>
      <c r="AZ2" s="1005" t="n"/>
      <c r="BA2" s="1005" t="n"/>
      <c r="BB2" s="1006" t="n"/>
      <c r="BC2" s="1194" t="inlineStr">
        <is>
          <t>Variation Reel 2016 / B 16 PFA 8 + 4  COMPLET</t>
        </is>
      </c>
      <c r="BD2" s="1005" t="n"/>
      <c r="BE2" s="1005" t="n"/>
      <c r="BF2" s="1005" t="n"/>
      <c r="BG2" s="1006" t="n"/>
    </row>
    <row r="3" ht="15" customHeight="1" thickBot="1">
      <c r="A3" s="829" t="n"/>
      <c r="B3" s="1195" t="inlineStr">
        <is>
          <t>LOYERS</t>
        </is>
      </c>
      <c r="C3" s="124" t="inlineStr">
        <is>
          <t>Plog &amp; Divers</t>
        </is>
      </c>
      <c r="D3" s="123" t="inlineStr">
        <is>
          <t>Total BASE</t>
        </is>
      </c>
      <c r="E3" s="116" t="inlineStr">
        <is>
          <t>IMAR</t>
        </is>
      </c>
      <c r="F3" s="1196" t="inlineStr">
        <is>
          <t>HINT</t>
        </is>
      </c>
      <c r="G3" s="1197" t="inlineStr">
        <is>
          <t>IAER</t>
        </is>
      </c>
      <c r="H3" s="1197" t="inlineStr">
        <is>
          <t>EAER</t>
        </is>
      </c>
      <c r="I3" s="1196" t="inlineStr">
        <is>
          <t>AERIEN</t>
        </is>
      </c>
      <c r="J3" s="1196" t="inlineStr">
        <is>
          <t>EXPORT</t>
        </is>
      </c>
      <c r="K3" s="1196" t="inlineStr">
        <is>
          <t>SIRT (dédié)</t>
        </is>
      </c>
      <c r="L3" s="1198" t="inlineStr">
        <is>
          <t>CA Dpt Ext</t>
        </is>
      </c>
      <c r="M3" s="1199" t="inlineStr">
        <is>
          <t>CA TOTAL GENERE PAR CLIENT</t>
        </is>
      </c>
      <c r="N3" s="1200" t="n"/>
      <c r="O3" s="1201" t="inlineStr">
        <is>
          <t>Sources revenus</t>
        </is>
      </c>
      <c r="P3" s="1202" t="inlineStr">
        <is>
          <t>R23 Loyer</t>
        </is>
      </c>
      <c r="Q3" s="1202" t="inlineStr">
        <is>
          <t>R21 Log &amp; divers</t>
        </is>
      </c>
      <c r="R3" s="1015" t="inlineStr">
        <is>
          <t>TOTAL R23</t>
        </is>
      </c>
      <c r="S3" s="1203" t="inlineStr">
        <is>
          <t>B20 Loyer</t>
        </is>
      </c>
      <c r="T3" s="1203" t="inlineStr">
        <is>
          <t>B20 Log &amp; divers</t>
        </is>
      </c>
      <c r="U3" s="8" t="inlineStr">
        <is>
          <t>Budget 2023</t>
        </is>
      </c>
      <c r="V3" s="296" t="inlineStr">
        <is>
          <t>VAR (FCFA)</t>
        </is>
      </c>
      <c r="W3" s="222" t="inlineStr">
        <is>
          <t>Var (%)</t>
        </is>
      </c>
      <c r="X3" s="1204" t="inlineStr">
        <is>
          <t>B23 Loyer</t>
        </is>
      </c>
      <c r="Y3" s="1204" t="inlineStr">
        <is>
          <t>B23Log &amp; divers</t>
        </is>
      </c>
      <c r="Z3" s="300" t="inlineStr">
        <is>
          <t>Budget 2023</t>
        </is>
      </c>
      <c r="AA3" s="302" t="inlineStr">
        <is>
          <t>VAR (FCFA)</t>
        </is>
      </c>
      <c r="AB3" s="301" t="inlineStr">
        <is>
          <t>Var (%)</t>
        </is>
      </c>
      <c r="AC3" s="311" t="n"/>
      <c r="AD3" s="1205" t="inlineStr">
        <is>
          <t>PFA Loyer</t>
        </is>
      </c>
      <c r="AE3" s="1206" t="inlineStr">
        <is>
          <t>PFA Log &amp; divers</t>
        </is>
      </c>
      <c r="AF3" s="300" t="inlineStr">
        <is>
          <t>PFA 4 + 8 2015</t>
        </is>
      </c>
      <c r="AG3" s="302" t="inlineStr">
        <is>
          <t>VAR (FCFA)</t>
        </is>
      </c>
      <c r="AH3" s="301" t="inlineStr">
        <is>
          <t>Var (%)</t>
        </is>
      </c>
      <c r="AI3" s="1207" t="inlineStr">
        <is>
          <t>PFA Loyer</t>
        </is>
      </c>
      <c r="AJ3" s="1208" t="inlineStr">
        <is>
          <t>PFA Log &amp; divers</t>
        </is>
      </c>
      <c r="AK3" s="464" t="inlineStr">
        <is>
          <t>PFA 8 + 4 2015</t>
        </is>
      </c>
      <c r="AL3" s="302" t="inlineStr">
        <is>
          <t>VAR (FCFA)</t>
        </is>
      </c>
      <c r="AM3" s="301" t="inlineStr">
        <is>
          <t>Var (%)</t>
        </is>
      </c>
      <c r="AN3" s="1209" t="inlineStr">
        <is>
          <t>PFA Loyer</t>
        </is>
      </c>
      <c r="AO3" s="1210" t="inlineStr">
        <is>
          <t>PFA Log &amp; divers</t>
        </is>
      </c>
      <c r="AP3" s="464" t="inlineStr">
        <is>
          <t>PFA 8 + 4 2015</t>
        </is>
      </c>
      <c r="AQ3" s="302" t="inlineStr">
        <is>
          <t>VAR (FCFA)</t>
        </is>
      </c>
      <c r="AR3" s="301" t="inlineStr">
        <is>
          <t>Var (%)</t>
        </is>
      </c>
      <c r="AS3" s="1211" t="inlineStr">
        <is>
          <t>PFA Loyer</t>
        </is>
      </c>
      <c r="AT3" s="1212" t="inlineStr">
        <is>
          <t>PFA Log &amp; divers</t>
        </is>
      </c>
      <c r="AU3" s="300" t="inlineStr">
        <is>
          <t>PFA 4 + 8 2016</t>
        </is>
      </c>
      <c r="AV3" s="302" t="inlineStr">
        <is>
          <t>VAR (FCFA)</t>
        </is>
      </c>
      <c r="AW3" s="301" t="inlineStr">
        <is>
          <t>Var (%)</t>
        </is>
      </c>
      <c r="AX3" s="1211" t="inlineStr">
        <is>
          <t>PFA Loyer</t>
        </is>
      </c>
      <c r="AY3" s="1212" t="inlineStr">
        <is>
          <t>PFA Log &amp; divers</t>
        </is>
      </c>
      <c r="AZ3" s="300" t="inlineStr">
        <is>
          <t>PFA 4 + 8 2016</t>
        </is>
      </c>
      <c r="BA3" s="302" t="inlineStr">
        <is>
          <t>VAR (FCFA)</t>
        </is>
      </c>
      <c r="BB3" s="301" t="inlineStr">
        <is>
          <t>Var (%)</t>
        </is>
      </c>
      <c r="BC3" s="1213" t="inlineStr">
        <is>
          <t>PFA Loyer</t>
        </is>
      </c>
      <c r="BD3" s="1214" t="inlineStr">
        <is>
          <t>PFA Log &amp; divers</t>
        </is>
      </c>
      <c r="BE3" s="8" t="inlineStr">
        <is>
          <t>PFA 4 + 8 2016</t>
        </is>
      </c>
      <c r="BF3" s="296" t="inlineStr">
        <is>
          <t>VAR (FCFA)</t>
        </is>
      </c>
      <c r="BG3" s="222" t="inlineStr">
        <is>
          <t>Var (%)</t>
        </is>
      </c>
    </row>
    <row r="4">
      <c r="A4" s="550" t="inlineStr">
        <is>
          <t>NAVITRANS (ex CIAM)</t>
        </is>
      </c>
      <c r="B4" s="1215">
        <f>Janvier!B4+Février!B4+Mars!B4+Avril!B4+Mai!B4+Juin!B4+Juillet!B4+Aout!B4+Septembre!B4+Octobre!B4+Novembre!B4+Décembre!B4</f>
        <v/>
      </c>
      <c r="C4" s="1216">
        <f>Janvier!C4+Février!C4+Mars!C4+Avril!C4+Mai!C4+Juin!C4+Juillet!C4+Aout!C4+Septembre!C4+Octobre!C4+Novembre!C4+Décembre!C4</f>
        <v/>
      </c>
      <c r="D4" s="1217">
        <f>Janvier!D4+Février!D4+Mars!D4+Avril!D4+Mai!D4+Juin!D4+Juillet!D4+Aout!D4+Septembre!D4+Octobre!D4+Novembre!D4+Décembre!D4</f>
        <v/>
      </c>
      <c r="E4" s="1218">
        <f>Janvier!E4+Février!E4+Mars!E4+Avril!E4+Mai!E4+Juin!E4+Juillet!E4+Aout!E4+Septembre!E4+Octobre!E4+Novembre!E4+Décembre!E4</f>
        <v/>
      </c>
      <c r="F4" s="1219">
        <f>Janvier!F4+Février!F4+Mars!F4+Avril!F4+Mai!F4+Juin!F4+Juillet!F4+Aout!F4+Septembre!F4+Octobre!F4+Novembre!F4+Décembre!F4</f>
        <v/>
      </c>
      <c r="G4" s="1220">
        <f>Janvier!G4+Février!G4+Mars!G4+Avril!G4+Mai!G4+Juin!G4+Juillet!G4+Aout!G4+Septembre!G4+Octobre!G4+Novembre!G4+Décembre!G4</f>
        <v/>
      </c>
      <c r="H4" s="1220">
        <f>Janvier!H4+Février!H4+Mars!H4+Avril!H4+Mai!H4+Juin!H4+Juillet!H4+Aout!H4+Septembre!H4+Octobre!H4+Novembre!H4+Décembre!H4</f>
        <v/>
      </c>
      <c r="I4" s="1219">
        <f>Janvier!I4+Février!I4+Mars!I4+Avril!I4+Mai!I4+Juin!I4+Juillet!I4+Aout!I4+Septembre!I4+Octobre!I4+Novembre!I4+Décembre!I4</f>
        <v/>
      </c>
      <c r="J4" s="1219">
        <f>Janvier!J4+Février!J4+Mars!J4+Avril!J4+Mai!J4+Juin!J4+Juillet!J4+Aout!J4+Septembre!J4+Octobre!J4+Novembre!J4+Décembre!J4</f>
        <v/>
      </c>
      <c r="K4" s="1094" t="n"/>
      <c r="L4" s="1221">
        <f>SUM(E4:F4,I4:K4)</f>
        <v/>
      </c>
      <c r="M4" s="1222">
        <f>L4+D4</f>
        <v/>
      </c>
      <c r="N4" s="1223">
        <f>M4/655.957</f>
        <v/>
      </c>
      <c r="O4" s="445">
        <f>A4</f>
        <v/>
      </c>
      <c r="P4" s="1224">
        <f>B4</f>
        <v/>
      </c>
      <c r="Q4" s="1224">
        <f>C4</f>
        <v/>
      </c>
      <c r="R4" s="1225">
        <f>D4</f>
        <v/>
      </c>
      <c r="S4" s="1226">
        <f>X4/12*$A$1</f>
        <v/>
      </c>
      <c r="T4" s="1226">
        <f>Y4/12*$A$1</f>
        <v/>
      </c>
      <c r="U4" s="1025" t="n">
        <v>833333</v>
      </c>
      <c r="V4" s="1026">
        <f>$R4-U4</f>
        <v/>
      </c>
      <c r="W4" s="678">
        <f>R4/U4-1</f>
        <v/>
      </c>
      <c r="X4" s="1227" t="n">
        <v>0</v>
      </c>
      <c r="Y4" s="1227" t="n">
        <v>15000000</v>
      </c>
      <c r="Z4" s="1025">
        <f>Y4+X4</f>
        <v/>
      </c>
      <c r="AA4" s="1026">
        <f>R4-Z4</f>
        <v/>
      </c>
      <c r="AB4" s="678">
        <f>R4/Z4-1</f>
        <v/>
      </c>
      <c r="AC4" s="314">
        <f>Z4/$Z$57</f>
        <v/>
      </c>
      <c r="AD4" s="1228" t="n">
        <v>0</v>
      </c>
      <c r="AE4" s="1229">
        <f>AF4-AD4</f>
        <v/>
      </c>
      <c r="AF4" s="1025" t="n">
        <v>0</v>
      </c>
      <c r="AG4" s="1026">
        <f>R4-AF4</f>
        <v/>
      </c>
      <c r="AH4" s="411">
        <f>R4/AF4-1</f>
        <v/>
      </c>
      <c r="AI4" s="1230" t="n">
        <v>0</v>
      </c>
      <c r="AJ4" s="1231">
        <f>AK4-AI4</f>
        <v/>
      </c>
      <c r="AK4" s="1025" t="n">
        <v>0</v>
      </c>
      <c r="AL4" s="1026">
        <f>R4-AK4</f>
        <v/>
      </c>
      <c r="AM4" s="411" t="n">
        <v>0</v>
      </c>
      <c r="AN4" s="1232">
        <f>AI4/12*$A$1</f>
        <v/>
      </c>
      <c r="AO4" s="1232">
        <f>AJ4/12*$A$1</f>
        <v/>
      </c>
      <c r="AP4" s="1025">
        <f>AO4+AN4</f>
        <v/>
      </c>
      <c r="AQ4" s="1026">
        <f>R4-AP4</f>
        <v/>
      </c>
      <c r="AR4" s="411" t="n">
        <v>0</v>
      </c>
      <c r="AS4" s="1233" t="n"/>
      <c r="AT4" s="1234" t="n">
        <v>20000000</v>
      </c>
      <c r="AU4" s="1025">
        <f>AT4+AS4</f>
        <v/>
      </c>
      <c r="AV4" s="1026">
        <f>AU4-Z4</f>
        <v/>
      </c>
      <c r="AW4" s="508">
        <f>AU4/Z4-1</f>
        <v/>
      </c>
      <c r="AX4" s="1233">
        <f>BC4/12*$A$1</f>
        <v/>
      </c>
      <c r="AY4" s="1234">
        <f>BD4/12*$A$1</f>
        <v/>
      </c>
      <c r="AZ4" s="1025">
        <f>AY4+AX4</f>
        <v/>
      </c>
      <c r="BA4" s="1026">
        <f>$R4-AZ4</f>
        <v/>
      </c>
      <c r="BB4" s="533">
        <f>$R4/AZ4-1</f>
        <v/>
      </c>
      <c r="BC4" s="1233" t="n"/>
      <c r="BD4" s="1234" t="n">
        <v>30000000</v>
      </c>
      <c r="BE4" s="1025">
        <f>BD4+BC4</f>
        <v/>
      </c>
      <c r="BF4" s="1026">
        <f>$R4-BE4</f>
        <v/>
      </c>
      <c r="BG4" s="533">
        <f>$R4/BE4-1</f>
        <v/>
      </c>
    </row>
    <row r="5">
      <c r="A5" s="550" t="inlineStr">
        <is>
          <t>DRIL QUIP</t>
        </is>
      </c>
      <c r="B5" s="1235">
        <f>Janvier!B5+Février!B5+Mars!B5+Avril!B5+Mai!B5+Juin!B5+Juillet!B5+Aout!B5+Septembre!B5+Octobre!B5+Novembre!B5+Décembre!B5</f>
        <v/>
      </c>
      <c r="C5" s="1236">
        <f>Janvier!C5+Février!C5+Mars!C5+Avril!C5+Mai!C5+Juin!C5+Juillet!C5+Aout!C5+Septembre!C5+Octobre!C5+Novembre!C5+Décembre!C5</f>
        <v/>
      </c>
      <c r="D5" s="1237">
        <f>Janvier!D5+Février!D5+Mars!D5+Avril!D5+Mai!D5+Juin!D5+Juillet!D5+Aout!D5+Septembre!D5+Octobre!D5+Novembre!D5+Décembre!D5</f>
        <v/>
      </c>
      <c r="E5" s="1238">
        <f>Janvier!E5+Février!E5+Mars!E5+Avril!E5+Mai!E5+Juin!E5+Juillet!E5+Aout!E5+Septembre!E5+Octobre!E5+Novembre!E5+Décembre!E5</f>
        <v/>
      </c>
      <c r="F5" s="1089">
        <f>Janvier!F5+Février!F5+Mars!F5+Avril!F5+Mai!F5+Juin!F5+Juillet!F5+Aout!F5+Septembre!F5+Octobre!F5+Novembre!F5+Décembre!F5</f>
        <v/>
      </c>
      <c r="G5" s="1239">
        <f>Janvier!G5+Février!G5+Mars!G5+Avril!G5+Mai!G5+Juin!G5+Juillet!G5+Aout!G5+Septembre!G5+Octobre!G5+Novembre!G5+Décembre!G5</f>
        <v/>
      </c>
      <c r="H5" s="1239">
        <f>Janvier!H5+Février!H5+Mars!H5+Avril!H5+Mai!H5+Juin!H5+Juillet!H5+Aout!H5+Septembre!H5+Octobre!H5+Novembre!H5+Décembre!H5</f>
        <v/>
      </c>
      <c r="I5" s="1089">
        <f>Janvier!I5+Février!I5+Mars!I5+Avril!I5+Mai!I5+Juin!I5+Juillet!I5+Aout!I5+Septembre!I5+Octobre!I5+Novembre!I5+Décembre!I5</f>
        <v/>
      </c>
      <c r="J5" s="1089">
        <f>Janvier!J5+Février!J5+Mars!J5+Avril!J5+Mai!J5+Juin!J5+Juillet!J5+Aout!J5+Septembre!J5+Octobre!J5+Novembre!J5+Décembre!J5</f>
        <v/>
      </c>
      <c r="K5" s="1097" t="n"/>
      <c r="L5" s="1240">
        <f>SUM(E5:F5,I5:K5)</f>
        <v/>
      </c>
      <c r="M5" s="1222">
        <f>L5+D5</f>
        <v/>
      </c>
      <c r="N5" s="1223">
        <f>M5/655.957</f>
        <v/>
      </c>
      <c r="O5" s="445">
        <f>A5</f>
        <v/>
      </c>
      <c r="P5" s="1224">
        <f>B5</f>
        <v/>
      </c>
      <c r="Q5" s="1224">
        <f>C5</f>
        <v/>
      </c>
      <c r="R5" s="1225">
        <f>D5</f>
        <v/>
      </c>
      <c r="S5" s="1226">
        <f>X5/12*$A$1</f>
        <v/>
      </c>
      <c r="T5" s="1226">
        <f>Y5/12*$A$1</f>
        <v/>
      </c>
      <c r="U5" s="1025" t="n">
        <v>0</v>
      </c>
      <c r="V5" s="1026">
        <f>$R5-U5</f>
        <v/>
      </c>
      <c r="W5" s="678">
        <f>R5/U5-1</f>
        <v/>
      </c>
      <c r="X5" s="1227" t="n">
        <v>0</v>
      </c>
      <c r="Y5" s="1227" t="n">
        <v>0</v>
      </c>
      <c r="Z5" s="1025">
        <f>Y5+X5</f>
        <v/>
      </c>
      <c r="AA5" s="1026">
        <f>R5-Z5</f>
        <v/>
      </c>
      <c r="AB5" s="678">
        <f>R5/Z5-1</f>
        <v/>
      </c>
      <c r="AC5" s="314">
        <f>Z5/$Z$57</f>
        <v/>
      </c>
      <c r="AD5" s="1228" t="n"/>
      <c r="AE5" s="1229">
        <f>AF5-AD5</f>
        <v/>
      </c>
      <c r="AF5" s="1025" t="n">
        <v>220000</v>
      </c>
      <c r="AG5" s="1026">
        <f>R5-AF5</f>
        <v/>
      </c>
      <c r="AH5" s="411">
        <f>R5/AF5-1</f>
        <v/>
      </c>
      <c r="AI5" s="1230" t="n"/>
      <c r="AJ5" s="1231">
        <f>AK5-AI5</f>
        <v/>
      </c>
      <c r="AK5" s="1025" t="n">
        <v>220000</v>
      </c>
      <c r="AL5" s="1026">
        <f>R5-AK5</f>
        <v/>
      </c>
      <c r="AM5" s="411">
        <f>R5/AK5-1</f>
        <v/>
      </c>
      <c r="AN5" s="1232">
        <f>AI5/12*$A$1</f>
        <v/>
      </c>
      <c r="AO5" s="1232">
        <f>AJ5/12*$A$1</f>
        <v/>
      </c>
      <c r="AP5" s="1025">
        <f>AO5+AN5</f>
        <v/>
      </c>
      <c r="AQ5" s="1026">
        <f>R5-AP5</f>
        <v/>
      </c>
      <c r="AR5" s="411">
        <f>R5/AP5-1</f>
        <v/>
      </c>
      <c r="AS5" s="1233" t="n"/>
      <c r="AT5" s="1234" t="n"/>
      <c r="AU5" s="1025">
        <f>AT5+AS5</f>
        <v/>
      </c>
      <c r="AV5" s="1026">
        <f>AU5-Z5</f>
        <v/>
      </c>
      <c r="AW5" s="508">
        <f>AU5/Z5-1</f>
        <v/>
      </c>
      <c r="AX5" s="1233">
        <f>BC5/12*$A$1</f>
        <v/>
      </c>
      <c r="AY5" s="1234">
        <f>BD5/12*$A$1</f>
        <v/>
      </c>
      <c r="AZ5" s="1025">
        <f>AY5+AX5</f>
        <v/>
      </c>
      <c r="BA5" s="1026">
        <f>$R5-AZ5</f>
        <v/>
      </c>
      <c r="BB5" s="502">
        <f>$R5/AZ5-1</f>
        <v/>
      </c>
      <c r="BC5" s="1233" t="n"/>
      <c r="BD5" s="1234" t="n"/>
      <c r="BE5" s="1025">
        <f>BD5+BC5</f>
        <v/>
      </c>
      <c r="BF5" s="1026">
        <f>$R5-BE5</f>
        <v/>
      </c>
      <c r="BG5" s="502">
        <f>$R5/BE5-1</f>
        <v/>
      </c>
    </row>
    <row r="6">
      <c r="A6" s="694" t="inlineStr">
        <is>
          <t>BORR GERD</t>
        </is>
      </c>
      <c r="B6" s="1235">
        <f>Janvier!B6+Février!B6+Mars!B6+Avril!B6+Mai!B6+Juin!B6+Juillet!B6+Aout!B6+Septembre!B6+Octobre!B6+Novembre!B6+Décembre!B6</f>
        <v/>
      </c>
      <c r="C6" s="1236">
        <f>Janvier!C6+Février!C6+Mars!C6+Avril!C6+Mai!C6+Juin!C6+Juillet!C6+Aout!C6+Septembre!C6+Octobre!C6+Novembre!C6+Décembre!C6</f>
        <v/>
      </c>
      <c r="D6" s="1237">
        <f>Janvier!D6+Février!D6+Mars!D6+Avril!D6+Mai!D6+Juin!D6+Juillet!D6+Aout!D6+Septembre!D6+Octobre!D6+Novembre!D6+Décembre!D6</f>
        <v/>
      </c>
      <c r="E6" s="1238">
        <f>Janvier!E6+Février!E6+Mars!E6+Avril!E6+Mai!E6+Juin!E6+Juillet!E6+Aout!E6+Septembre!E6+Octobre!E6+Novembre!E6+Décembre!E6</f>
        <v/>
      </c>
      <c r="F6" s="1089">
        <f>Janvier!F6+Février!F6+Mars!F6+Avril!F6+Mai!F6+Juin!F6+Juillet!F6+Aout!F6+Septembre!F6+Octobre!F6+Novembre!F6+Décembre!F6</f>
        <v/>
      </c>
      <c r="G6" s="1239">
        <f>Janvier!G6+Février!G6+Mars!G6+Avril!G6+Mai!G6+Juin!G6+Juillet!G6+Aout!G6+Septembre!G6+Octobre!G6+Novembre!G6+Décembre!G6</f>
        <v/>
      </c>
      <c r="H6" s="1239">
        <f>Janvier!H6+Février!H6+Mars!H6+Avril!H6+Mai!H6+Juin!H6+Juillet!H6+Aout!H6+Septembre!H6+Octobre!H6+Novembre!H6+Décembre!H6</f>
        <v/>
      </c>
      <c r="I6" s="1089">
        <f>Janvier!I6+Février!I6+Mars!I6+Avril!I6+Mai!I6+Juin!I6+Juillet!I6+Aout!I6+Septembre!I6+Octobre!I6+Novembre!I6+Décembre!I6</f>
        <v/>
      </c>
      <c r="J6" s="1089">
        <f>Janvier!J6+Février!J6+Mars!J6+Avril!J6+Mai!J6+Juin!J6+Juillet!J6+Aout!J6+Septembre!J6+Octobre!J6+Novembre!J6+Décembre!J6</f>
        <v/>
      </c>
      <c r="K6" s="1097" t="n"/>
      <c r="L6" s="1240">
        <f>SUM(E6:F6,I6:K6)</f>
        <v/>
      </c>
      <c r="M6" s="1222">
        <f>L6+D6</f>
        <v/>
      </c>
      <c r="N6" s="1223">
        <f>M6/655.957</f>
        <v/>
      </c>
      <c r="O6" s="445">
        <f>A6</f>
        <v/>
      </c>
      <c r="P6" s="1224">
        <f>B6</f>
        <v/>
      </c>
      <c r="Q6" s="1224">
        <f>C6</f>
        <v/>
      </c>
      <c r="R6" s="1225">
        <f>D6</f>
        <v/>
      </c>
      <c r="S6" s="1226">
        <f>X6/12*$A$1</f>
        <v/>
      </c>
      <c r="T6" s="1226">
        <f>Y6/12*$A$1</f>
        <v/>
      </c>
      <c r="U6" s="1025" t="n">
        <v>0</v>
      </c>
      <c r="V6" s="1026">
        <f>$R6-U6</f>
        <v/>
      </c>
      <c r="W6" s="678">
        <f>R6/U6-1</f>
        <v/>
      </c>
      <c r="X6" s="1227" t="n">
        <v>0</v>
      </c>
      <c r="Y6" s="1227" t="n">
        <v>10000000</v>
      </c>
      <c r="Z6" s="1025">
        <f>Y6+X6</f>
        <v/>
      </c>
      <c r="AA6" s="1026">
        <f>R6-Z6</f>
        <v/>
      </c>
      <c r="AB6" s="678">
        <f>R6/Z6-1</f>
        <v/>
      </c>
      <c r="AC6" s="314">
        <f>Z6/$Z$57</f>
        <v/>
      </c>
      <c r="AD6" s="1228" t="n">
        <v>105000000</v>
      </c>
      <c r="AE6" s="1229">
        <f>AF6-AD6</f>
        <v/>
      </c>
      <c r="AF6" s="1025" t="n">
        <v>250000000</v>
      </c>
      <c r="AG6" s="1026">
        <f>R6-AF6</f>
        <v/>
      </c>
      <c r="AH6" s="461">
        <f>R6/AF6-1</f>
        <v/>
      </c>
      <c r="AI6" s="1230" t="n">
        <v>105000000</v>
      </c>
      <c r="AJ6" s="1231">
        <f>AK6-AI6</f>
        <v/>
      </c>
      <c r="AK6" s="1025" t="n">
        <v>165000000</v>
      </c>
      <c r="AL6" s="1026">
        <f>R6-AK6</f>
        <v/>
      </c>
      <c r="AM6" s="457">
        <f>R6/AK6-1</f>
        <v/>
      </c>
      <c r="AN6" s="1232">
        <f>AI6/12*$A$1</f>
        <v/>
      </c>
      <c r="AO6" s="1232">
        <f>AJ6/12*$A$1</f>
        <v/>
      </c>
      <c r="AP6" s="1025">
        <f>AO6+AN6</f>
        <v/>
      </c>
      <c r="AQ6" s="1026">
        <f>R6-AP6</f>
        <v/>
      </c>
      <c r="AR6" s="461">
        <f>R6/AP6-1</f>
        <v/>
      </c>
      <c r="AS6" s="1233">
        <f>8500000*12</f>
        <v/>
      </c>
      <c r="AT6" s="1234">
        <f>28000000+6000000*5</f>
        <v/>
      </c>
      <c r="AU6" s="1025">
        <f>AT6+AS6</f>
        <v/>
      </c>
      <c r="AV6" s="1026">
        <f>AU6-Z6</f>
        <v/>
      </c>
      <c r="AW6" s="508">
        <f>AU6/Z6-1</f>
        <v/>
      </c>
      <c r="AX6" s="1233">
        <f>BC6/12*$A$1</f>
        <v/>
      </c>
      <c r="AY6" s="1234">
        <f>BD6/12*$A$1</f>
        <v/>
      </c>
      <c r="AZ6" s="1025">
        <f>AY6+AX6</f>
        <v/>
      </c>
      <c r="BA6" s="1026">
        <f>$R6-AZ6</f>
        <v/>
      </c>
      <c r="BB6" s="502">
        <f>$R6/AZ6-1</f>
        <v/>
      </c>
      <c r="BC6" s="1233">
        <f>8500000*12+600000</f>
        <v/>
      </c>
      <c r="BD6" s="1234" t="n">
        <v>270000000</v>
      </c>
      <c r="BE6" s="1025">
        <f>BD6+BC6</f>
        <v/>
      </c>
      <c r="BF6" s="1026">
        <f>$R6-BE6</f>
        <v/>
      </c>
      <c r="BG6" s="502">
        <f>$R6/BE6-1</f>
        <v/>
      </c>
    </row>
    <row r="7">
      <c r="A7" s="550" t="inlineStr">
        <is>
          <t>BAKER HUGHUES</t>
        </is>
      </c>
      <c r="B7" s="1235">
        <f>Janvier!B7+Février!B7+Mars!B7+Avril!B7+Mai!B7+Juin!B7+Juillet!B7+Aout!B7+Septembre!B7+Octobre!B7+Novembre!B7+Décembre!B7</f>
        <v/>
      </c>
      <c r="C7" s="1236">
        <f>Janvier!C7+Février!C7+Mars!C7+Avril!C7+Mai!C7+Juin!C7+Juillet!C7+Aout!C7+Septembre!C7+Octobre!C7+Novembre!C7+Décembre!C7</f>
        <v/>
      </c>
      <c r="D7" s="1237">
        <f>Janvier!D7+Février!D7+Mars!D7+Avril!D7+Mai!D7+Juin!D7+Juillet!D7+Aout!D7+Septembre!D7+Octobre!D7+Novembre!D7+Décembre!D7</f>
        <v/>
      </c>
      <c r="E7" s="1238">
        <f>Janvier!E7+Février!E7+Mars!E7+Avril!E7+Mai!E7+Juin!E7+Juillet!E7+Aout!E7+Septembre!E7+Octobre!E7+Novembre!E7+Décembre!E7</f>
        <v/>
      </c>
      <c r="F7" s="1089">
        <f>Janvier!F7+Février!F7+Mars!F7+Avril!F7+Mai!F7+Juin!F7+Juillet!F7+Aout!F7+Septembre!F7+Octobre!F7+Novembre!F7+Décembre!F7</f>
        <v/>
      </c>
      <c r="G7" s="1239">
        <f>Janvier!G7+Février!G7+Mars!G7+Avril!G7+Mai!G7+Juin!G7+Juillet!G7+Aout!G7+Septembre!G7+Octobre!G7+Novembre!G7+Décembre!G7</f>
        <v/>
      </c>
      <c r="H7" s="1239">
        <f>Janvier!H7+Février!H7+Mars!H7+Avril!H7+Mai!H7+Juin!H7+Juillet!H7+Aout!H7+Septembre!H7+Octobre!H7+Novembre!H7+Décembre!H7</f>
        <v/>
      </c>
      <c r="I7" s="1089">
        <f>Janvier!I7+Février!I7+Mars!I7+Avril!I7+Mai!I7+Juin!I7+Juillet!I7+Aout!I7+Septembre!I7+Octobre!I7+Novembre!I7+Décembre!I7</f>
        <v/>
      </c>
      <c r="J7" s="1089">
        <f>Janvier!J7+Février!J7+Mars!J7+Avril!J7+Mai!J7+Juin!J7+Juillet!J7+Aout!J7+Septembre!J7+Octobre!J7+Novembre!J7+Décembre!J7</f>
        <v/>
      </c>
      <c r="K7" s="1097" t="n"/>
      <c r="L7" s="1240">
        <f>SUM(E7:F7,I7:K7)</f>
        <v/>
      </c>
      <c r="M7" s="1222">
        <f>L7+D7</f>
        <v/>
      </c>
      <c r="N7" s="1223">
        <f>M7/655.957</f>
        <v/>
      </c>
      <c r="O7" s="445">
        <f>A7</f>
        <v/>
      </c>
      <c r="P7" s="1224">
        <f>B7</f>
        <v/>
      </c>
      <c r="Q7" s="1224">
        <f>C7</f>
        <v/>
      </c>
      <c r="R7" s="1225">
        <f>D7</f>
        <v/>
      </c>
      <c r="S7" s="1226">
        <f>X7/12*$A$1</f>
        <v/>
      </c>
      <c r="T7" s="1226">
        <f>Y7/12*$A$1</f>
        <v/>
      </c>
      <c r="U7" s="1025" t="n">
        <v>7250000</v>
      </c>
      <c r="V7" s="1026">
        <f>$R7-U7</f>
        <v/>
      </c>
      <c r="W7" s="678">
        <f>R7/U7-1</f>
        <v/>
      </c>
      <c r="X7" s="1227" t="n">
        <v>75000000</v>
      </c>
      <c r="Y7" s="1227" t="n">
        <v>50000000</v>
      </c>
      <c r="Z7" s="1025">
        <f>Y7+X7</f>
        <v/>
      </c>
      <c r="AA7" s="1026">
        <f>R7-Z7</f>
        <v/>
      </c>
      <c r="AB7" s="678">
        <f>R7/Z7-1</f>
        <v/>
      </c>
      <c r="AC7" s="314">
        <f>Z7/$Z$57</f>
        <v/>
      </c>
      <c r="AD7" s="1228" t="n">
        <v>86000000</v>
      </c>
      <c r="AE7" s="1229">
        <f>AF7-AD7</f>
        <v/>
      </c>
      <c r="AF7" s="1025" t="n">
        <v>140000000</v>
      </c>
      <c r="AG7" s="1026">
        <f>R7-AF7</f>
        <v/>
      </c>
      <c r="AH7" s="461">
        <f>R7/AF7-1</f>
        <v/>
      </c>
      <c r="AI7" s="1230" t="n">
        <v>86000000</v>
      </c>
      <c r="AJ7" s="1231">
        <f>AK7-AI7</f>
        <v/>
      </c>
      <c r="AK7" s="1025" t="n">
        <v>111000000</v>
      </c>
      <c r="AL7" s="1026">
        <f>R7-AK7</f>
        <v/>
      </c>
      <c r="AM7" s="459">
        <f>R7/AK7-1</f>
        <v/>
      </c>
      <c r="AN7" s="1232">
        <f>AI7/12*$A$1</f>
        <v/>
      </c>
      <c r="AO7" s="1232">
        <f>AJ7/12*$A$1</f>
        <v/>
      </c>
      <c r="AP7" s="1025">
        <f>AO7+AN7</f>
        <v/>
      </c>
      <c r="AQ7" s="1026">
        <f>R7-AP7</f>
        <v/>
      </c>
      <c r="AR7" s="411">
        <f>R7/AP7-1</f>
        <v/>
      </c>
      <c r="AS7" s="1233">
        <f>16833000*4</f>
        <v/>
      </c>
      <c r="AT7" s="1234" t="n">
        <v>45000000</v>
      </c>
      <c r="AU7" s="1025">
        <f>AT7+AS7</f>
        <v/>
      </c>
      <c r="AV7" s="1026">
        <f>AU7-Z7</f>
        <v/>
      </c>
      <c r="AW7" s="508">
        <f>AU7/Z7-1</f>
        <v/>
      </c>
      <c r="AX7" s="1233">
        <f>BC7/12*$A$1</f>
        <v/>
      </c>
      <c r="AY7" s="1234">
        <f>BD7/12*$A$1</f>
        <v/>
      </c>
      <c r="AZ7" s="1025">
        <f>AY7+AX7</f>
        <v/>
      </c>
      <c r="BA7" s="1026">
        <f>$R7-AZ7</f>
        <v/>
      </c>
      <c r="BB7" s="533">
        <f>$R7/AZ7-1</f>
        <v/>
      </c>
      <c r="BC7" s="1233">
        <f>16833000*4-2000000</f>
        <v/>
      </c>
      <c r="BD7" s="1234" t="n">
        <v>70000000</v>
      </c>
      <c r="BE7" s="1025">
        <f>BD7+BC7</f>
        <v/>
      </c>
      <c r="BF7" s="1026">
        <f>$R7-BE7</f>
        <v/>
      </c>
      <c r="BG7" s="533">
        <f>$R7/BE7-1</f>
        <v/>
      </c>
    </row>
    <row r="8">
      <c r="A8" s="694" t="inlineStr">
        <is>
          <t xml:space="preserve">ALTERA INFRASTRUCTURE </t>
        </is>
      </c>
      <c r="B8" s="1235">
        <f>Janvier!B8+Février!B8+Mars!B8+Avril!B8+Mai!B8+Juin!B8+Juillet!B8+Aout!B8+Septembre!B8+Octobre!B8+Novembre!B8+Décembre!B8</f>
        <v/>
      </c>
      <c r="C8" s="1236">
        <f>Janvier!C8+Février!C8+Mars!C8+Avril!C8+Mai!C8+Juin!C8+Juillet!C8+Aout!C8+Septembre!C8+Octobre!C8+Novembre!C8+Décembre!C8</f>
        <v/>
      </c>
      <c r="D8" s="1237">
        <f>Janvier!D8+Février!D8+Mars!D8+Avril!D8+Mai!D8+Juin!D8+Juillet!D8+Aout!D8+Septembre!D8+Octobre!D8+Novembre!D8+Décembre!D8</f>
        <v/>
      </c>
      <c r="E8" s="1238">
        <f>Janvier!E8+Février!E8+Mars!E8+Avril!E8+Mai!E8+Juin!E8+Juillet!E8+Aout!E8+Septembre!E8+Octobre!E8+Novembre!E8+Décembre!E8</f>
        <v/>
      </c>
      <c r="F8" s="1089">
        <f>Janvier!F8+Février!F8+Mars!F8+Avril!F8+Mai!F8+Juin!F8+Juillet!F8+Aout!F8+Septembre!F8+Octobre!F8+Novembre!F8+Décembre!F8</f>
        <v/>
      </c>
      <c r="G8" s="1239">
        <f>Janvier!G8+Février!G8+Mars!G8+Avril!G8+Mai!G8+Juin!G8+Juillet!G8+Aout!G8+Septembre!G8+Octobre!G8+Novembre!G8+Décembre!G8</f>
        <v/>
      </c>
      <c r="H8" s="1239">
        <f>Janvier!H8+Février!H8+Mars!H8+Avril!H8+Mai!H8+Juin!H8+Juillet!H8+Aout!H8+Septembre!H8+Octobre!H8+Novembre!H8+Décembre!H8</f>
        <v/>
      </c>
      <c r="I8" s="1089">
        <f>Janvier!I8+Février!I8+Mars!I8+Avril!I8+Mai!I8+Juin!I8+Juillet!I8+Aout!I8+Septembre!I8+Octobre!I8+Novembre!I8+Décembre!I8</f>
        <v/>
      </c>
      <c r="J8" s="1089">
        <f>Janvier!J8+Février!J8+Mars!J8+Avril!J8+Mai!J8+Juin!J8+Juillet!J8+Aout!J8+Septembre!J8+Octobre!J8+Novembre!J8+Décembre!J8</f>
        <v/>
      </c>
      <c r="K8" s="1097" t="n"/>
      <c r="L8" s="1240">
        <f>SUM(E8:F8,I8:K8)</f>
        <v/>
      </c>
      <c r="M8" s="1222">
        <f>L8+D8</f>
        <v/>
      </c>
      <c r="N8" s="1223">
        <f>M8/655.957</f>
        <v/>
      </c>
      <c r="O8" s="445">
        <f>A8</f>
        <v/>
      </c>
      <c r="P8" s="1224">
        <f>B8</f>
        <v/>
      </c>
      <c r="Q8" s="1224">
        <f>C8</f>
        <v/>
      </c>
      <c r="R8" s="1225">
        <f>D8</f>
        <v/>
      </c>
      <c r="S8" s="1226">
        <f>X8/12*$A$1</f>
        <v/>
      </c>
      <c r="T8" s="1226">
        <f>Y8/12*$A$1</f>
        <v/>
      </c>
      <c r="U8" s="1025" t="n">
        <v>0</v>
      </c>
      <c r="V8" s="1026">
        <f>$R8-U8</f>
        <v/>
      </c>
      <c r="W8" s="678">
        <f>R8/U8-1</f>
        <v/>
      </c>
      <c r="X8" s="1227" t="n">
        <v>0</v>
      </c>
      <c r="Y8" s="1227" t="n">
        <v>0</v>
      </c>
      <c r="Z8" s="1025">
        <f>Y8+X8</f>
        <v/>
      </c>
      <c r="AA8" s="1026">
        <f>R8-Z8</f>
        <v/>
      </c>
      <c r="AB8" s="678">
        <f>R8/Z8-1</f>
        <v/>
      </c>
      <c r="AC8" s="314">
        <f>Z8/$Z$57</f>
        <v/>
      </c>
      <c r="AD8" s="1228" t="n"/>
      <c r="AE8" s="1229">
        <f>AF8-AD8</f>
        <v/>
      </c>
      <c r="AF8" s="1025">
        <f>AC8*4901000000</f>
        <v/>
      </c>
      <c r="AG8" s="1026">
        <f>R8-AF8</f>
        <v/>
      </c>
      <c r="AH8" s="411">
        <f>R8/AF8-1</f>
        <v/>
      </c>
      <c r="AI8" s="1230" t="n"/>
      <c r="AJ8" s="1231">
        <f>AK8-AI8</f>
        <v/>
      </c>
      <c r="AK8" s="1025" t="n">
        <v>0</v>
      </c>
      <c r="AL8" s="1026">
        <f>R8-AK8</f>
        <v/>
      </c>
      <c r="AM8" s="411" t="n">
        <v>0</v>
      </c>
      <c r="AN8" s="1232">
        <f>AI8/12*$A$1</f>
        <v/>
      </c>
      <c r="AO8" s="1232">
        <f>AJ8/12*$A$1</f>
        <v/>
      </c>
      <c r="AP8" s="1025">
        <f>AO8+AN8</f>
        <v/>
      </c>
      <c r="AQ8" s="1026">
        <f>R8-AP8</f>
        <v/>
      </c>
      <c r="AR8" s="411" t="n">
        <v>0</v>
      </c>
      <c r="AS8" s="1233" t="n"/>
      <c r="AT8" s="1234" t="n"/>
      <c r="AU8" s="1025">
        <f>AT8+AS8</f>
        <v/>
      </c>
      <c r="AV8" s="1026">
        <f>AU8-Z8</f>
        <v/>
      </c>
      <c r="AW8" s="508">
        <f>AU8/Z8-1</f>
        <v/>
      </c>
      <c r="AX8" s="1233">
        <f>BC8/12*$A$1</f>
        <v/>
      </c>
      <c r="AY8" s="1234">
        <f>BD8/12*$A$1</f>
        <v/>
      </c>
      <c r="AZ8" s="1025">
        <f>AY8+AX8</f>
        <v/>
      </c>
      <c r="BA8" s="1026">
        <f>$R8-AZ8</f>
        <v/>
      </c>
      <c r="BB8" s="508">
        <f>$R8/AZ8-1</f>
        <v/>
      </c>
      <c r="BC8" s="1233" t="n"/>
      <c r="BD8" s="1234" t="n"/>
      <c r="BE8" s="1025">
        <f>BD8+BC8</f>
        <v/>
      </c>
      <c r="BF8" s="1026">
        <f>$R8-BE8</f>
        <v/>
      </c>
      <c r="BG8" s="508">
        <f>$R8/BE8-1</f>
        <v/>
      </c>
    </row>
    <row r="9">
      <c r="A9" s="694" t="inlineStr">
        <is>
          <t>ICM COTE D'IVOIRE</t>
        </is>
      </c>
      <c r="B9" s="1235">
        <f>Janvier!B9+Février!B9+Mars!B9+Avril!B9+Mai!B9+Juin!B9+Juillet!B9+Aout!B9+Septembre!B9+Octobre!B9+Novembre!B9+Décembre!B9</f>
        <v/>
      </c>
      <c r="C9" s="1236">
        <f>Janvier!C9+Février!C9+Mars!C9+Avril!C9+Mai!C9+Juin!C9+Juillet!C9+Aout!C9+Septembre!C9+Octobre!C9+Novembre!C9+Décembre!C9</f>
        <v/>
      </c>
      <c r="D9" s="1237">
        <f>Janvier!D9+Février!D9+Mars!D9+Avril!D9+Mai!D9+Juin!D9+Juillet!D9+Aout!D9+Septembre!D9+Octobre!D9+Novembre!D9+Décembre!D9</f>
        <v/>
      </c>
      <c r="E9" s="1238">
        <f>Janvier!E9+Février!E9+Mars!E9+Avril!E9+Mai!E9+Juin!E9+Juillet!E9+Aout!E9+Septembre!E9+Octobre!E9+Novembre!E9+Décembre!E9</f>
        <v/>
      </c>
      <c r="F9" s="1089">
        <f>Janvier!F9+Février!F9+Mars!F9+Avril!F9+Mai!F9+Juin!F9+Juillet!F9+Aout!F9+Septembre!F9+Octobre!F9+Novembre!F9+Décembre!F9</f>
        <v/>
      </c>
      <c r="G9" s="1239">
        <f>Janvier!G9+Février!G9+Mars!G9+Avril!G9+Mai!G9+Juin!G9+Juillet!G9+Aout!G9+Septembre!G9+Octobre!G9+Novembre!G9+Décembre!G9</f>
        <v/>
      </c>
      <c r="H9" s="1239">
        <f>Janvier!H9+Février!H9+Mars!H9+Avril!H9+Mai!H9+Juin!H9+Juillet!H9+Aout!H9+Septembre!H9+Octobre!H9+Novembre!H9+Décembre!H9</f>
        <v/>
      </c>
      <c r="I9" s="1089">
        <f>Janvier!I9+Février!I9+Mars!I9+Avril!I9+Mai!I9+Juin!I9+Juillet!I9+Aout!I9+Septembre!I9+Octobre!I9+Novembre!I9+Décembre!I9</f>
        <v/>
      </c>
      <c r="J9" s="1089">
        <f>Janvier!J9+Février!J9+Mars!J9+Avril!J9+Mai!J9+Juin!J9+Juillet!J9+Aout!J9+Septembre!J9+Octobre!J9+Novembre!J9+Décembre!J9</f>
        <v/>
      </c>
      <c r="K9" s="1097" t="n"/>
      <c r="L9" s="1240">
        <f>SUM(E9:F9,I9:K9)</f>
        <v/>
      </c>
      <c r="M9" s="1222">
        <f>L9+D9</f>
        <v/>
      </c>
      <c r="N9" s="1223">
        <f>M9/655.957</f>
        <v/>
      </c>
      <c r="O9" s="445">
        <f>A9</f>
        <v/>
      </c>
      <c r="P9" s="1224">
        <f>B9</f>
        <v/>
      </c>
      <c r="Q9" s="1224">
        <f>C9</f>
        <v/>
      </c>
      <c r="R9" s="1225">
        <f>D9</f>
        <v/>
      </c>
      <c r="S9" s="1226">
        <f>X9/12*$A$1</f>
        <v/>
      </c>
      <c r="T9" s="1226">
        <f>Y9/12*$A$1</f>
        <v/>
      </c>
      <c r="U9" s="1025" t="n">
        <v>0</v>
      </c>
      <c r="V9" s="1026">
        <f>$R9-U9</f>
        <v/>
      </c>
      <c r="W9" s="678">
        <f>R9/U9-1</f>
        <v/>
      </c>
      <c r="X9" s="1227" t="n"/>
      <c r="Y9" s="1227" t="n"/>
      <c r="Z9" s="1025">
        <f>Y9+X9</f>
        <v/>
      </c>
      <c r="AA9" s="1026">
        <f>R9-Z9</f>
        <v/>
      </c>
      <c r="AB9" s="678">
        <f>R9/Z9-1</f>
        <v/>
      </c>
      <c r="AC9" s="314">
        <f>Z9/$Z$57</f>
        <v/>
      </c>
      <c r="AD9" s="1228" t="n"/>
      <c r="AE9" s="1229">
        <f>AF9-AD9</f>
        <v/>
      </c>
      <c r="AF9" s="1025" t="n">
        <v>3140000</v>
      </c>
      <c r="AG9" s="1026">
        <f>R9-AF9</f>
        <v/>
      </c>
      <c r="AH9" s="411">
        <f>R9/AF9-1</f>
        <v/>
      </c>
      <c r="AI9" s="1230" t="n"/>
      <c r="AJ9" s="1231">
        <f>AK9-AI9</f>
        <v/>
      </c>
      <c r="AK9" s="1025" t="n">
        <v>3140000</v>
      </c>
      <c r="AL9" s="1026">
        <f>R9-AK9</f>
        <v/>
      </c>
      <c r="AM9" s="411">
        <f>R9/AK9-1</f>
        <v/>
      </c>
      <c r="AN9" s="1232">
        <f>AI9/12*$A$1</f>
        <v/>
      </c>
      <c r="AO9" s="1232">
        <f>AJ9/12*$A$1</f>
        <v/>
      </c>
      <c r="AP9" s="1025">
        <f>AO9+AN9</f>
        <v/>
      </c>
      <c r="AQ9" s="1026">
        <f>R9-AP9</f>
        <v/>
      </c>
      <c r="AR9" s="411">
        <f>R9/AP9-1</f>
        <v/>
      </c>
      <c r="AS9" s="1233" t="n"/>
      <c r="AT9" s="1234" t="n"/>
      <c r="AU9" s="1025">
        <f>AT9+AS9</f>
        <v/>
      </c>
      <c r="AV9" s="1026">
        <f>AU9-Z9</f>
        <v/>
      </c>
      <c r="AW9" s="508">
        <f>AU9/Z9-1</f>
        <v/>
      </c>
      <c r="AX9" s="1233">
        <f>BC9/12*$A$1</f>
        <v/>
      </c>
      <c r="AY9" s="1234">
        <f>BD9/12*$A$1</f>
        <v/>
      </c>
      <c r="AZ9" s="1025">
        <f>AY9+AX9</f>
        <v/>
      </c>
      <c r="BA9" s="1026">
        <f>$R9-AZ9</f>
        <v/>
      </c>
      <c r="BB9" s="508">
        <f>$R9/AZ9-1</f>
        <v/>
      </c>
      <c r="BC9" s="1233" t="n"/>
      <c r="BD9" s="1234" t="n"/>
      <c r="BE9" s="1025">
        <f>BD9+BC9</f>
        <v/>
      </c>
      <c r="BF9" s="1026">
        <f>$R9-BE9</f>
        <v/>
      </c>
      <c r="BG9" s="508">
        <f>$R9/BE9-1</f>
        <v/>
      </c>
    </row>
    <row r="10">
      <c r="A10" s="694" t="inlineStr">
        <is>
          <t>OILFIELD MACHINE SHOP (OMS)</t>
        </is>
      </c>
      <c r="B10" s="1235">
        <f>Janvier!B10+Février!B10+Mars!B10+Avril!B10+Mai!B10+Juin!B10+Juillet!B10+Aout!B10+Septembre!B10+Octobre!B10+Novembre!B10+Décembre!B10</f>
        <v/>
      </c>
      <c r="C10" s="1236">
        <f>Janvier!C10+Février!C10+Mars!C10+Avril!C10+Mai!C10+Juin!C10+Juillet!C10+Aout!C10+Septembre!C10+Octobre!C10+Novembre!C10+Décembre!C10</f>
        <v/>
      </c>
      <c r="D10" s="1237">
        <f>Janvier!D10+Février!D10+Mars!D10+Avril!D10+Mai!D10+Juin!D10+Juillet!D10+Aout!D10+Septembre!D10+Octobre!D10+Novembre!D10+Décembre!D10</f>
        <v/>
      </c>
      <c r="E10" s="1238">
        <f>Janvier!E10+Février!E10+Mars!E10+Avril!E10+Mai!E10+Juin!E10+Juillet!E10+Aout!E10+Septembre!E10+Octobre!E10+Novembre!E10+Décembre!E10</f>
        <v/>
      </c>
      <c r="F10" s="1089">
        <f>Janvier!F10+Février!F10+Mars!F10+Avril!F10+Mai!F10+Juin!F10+Juillet!F10+Aout!F10+Septembre!F10+Octobre!F10+Novembre!F10+Décembre!F10</f>
        <v/>
      </c>
      <c r="G10" s="1239">
        <f>Janvier!G10+Février!G10+Mars!G10+Avril!G10+Mai!G10+Juin!G10+Juillet!G10+Aout!G10+Septembre!G10+Octobre!G10+Novembre!G10+Décembre!G10</f>
        <v/>
      </c>
      <c r="H10" s="1239">
        <f>Janvier!H10+Février!H10+Mars!H10+Avril!H10+Mai!H10+Juin!H10+Juillet!H10+Aout!H10+Septembre!H10+Octobre!H10+Novembre!H10+Décembre!H10</f>
        <v/>
      </c>
      <c r="I10" s="1089">
        <f>Janvier!I10+Février!I10+Mars!I10+Avril!I10+Mai!I10+Juin!I10+Juillet!I10+Aout!I10+Septembre!I10+Octobre!I10+Novembre!I10+Décembre!I10</f>
        <v/>
      </c>
      <c r="J10" s="1089">
        <f>Janvier!J10+Février!J10+Mars!J10+Avril!J10+Mai!J10+Juin!J10+Juillet!J10+Aout!J10+Septembre!J10+Octobre!J10+Novembre!J10+Décembre!J10</f>
        <v/>
      </c>
      <c r="K10" s="1097" t="n"/>
      <c r="L10" s="1240">
        <f>SUM(E10:F10,I10:K10)</f>
        <v/>
      </c>
      <c r="M10" s="1222">
        <f>L10+D10</f>
        <v/>
      </c>
      <c r="N10" s="1223">
        <f>M10/655.957</f>
        <v/>
      </c>
      <c r="O10" s="445">
        <f>A10</f>
        <v/>
      </c>
      <c r="P10" s="1224">
        <f>B10</f>
        <v/>
      </c>
      <c r="Q10" s="1224">
        <f>C10</f>
        <v/>
      </c>
      <c r="R10" s="1225">
        <f>D10</f>
        <v/>
      </c>
      <c r="S10" s="1226">
        <f>X10/12*$A$1</f>
        <v/>
      </c>
      <c r="T10" s="1226">
        <f>Y10/12*$A$1</f>
        <v/>
      </c>
      <c r="U10" s="1025" t="n">
        <v>0</v>
      </c>
      <c r="V10" s="1026">
        <f>$R10-U10</f>
        <v/>
      </c>
      <c r="W10" s="678">
        <f>R10/U10-1</f>
        <v/>
      </c>
      <c r="X10" s="1227" t="n"/>
      <c r="Y10" s="1227" t="n"/>
      <c r="Z10" s="1025">
        <f>Y10+X10</f>
        <v/>
      </c>
      <c r="AA10" s="1026">
        <f>R10-Z10</f>
        <v/>
      </c>
      <c r="AB10" s="678">
        <f>R10/Z10-1</f>
        <v/>
      </c>
      <c r="AC10" s="314">
        <f>Z10/$Z$57</f>
        <v/>
      </c>
      <c r="AD10" s="1228" t="n"/>
      <c r="AE10" s="1229">
        <f>AF10-AD10</f>
        <v/>
      </c>
      <c r="AF10" s="1025" t="n">
        <v>7000000</v>
      </c>
      <c r="AG10" s="1026">
        <f>R10-AF10</f>
        <v/>
      </c>
      <c r="AH10" s="411">
        <f>R10/AF10-1</f>
        <v/>
      </c>
      <c r="AI10" s="1230" t="n"/>
      <c r="AJ10" s="1231">
        <f>AK10-AI10</f>
        <v/>
      </c>
      <c r="AK10" s="1025" t="n">
        <v>35000000</v>
      </c>
      <c r="AL10" s="1026">
        <f>R10-AK10</f>
        <v/>
      </c>
      <c r="AM10" s="411">
        <f>R10/AK10-1</f>
        <v/>
      </c>
      <c r="AN10" s="1232">
        <f>AI10/12*$A$1</f>
        <v/>
      </c>
      <c r="AO10" s="1232">
        <f>AJ10/12*$A$1</f>
        <v/>
      </c>
      <c r="AP10" s="1025">
        <f>AO10+AN10</f>
        <v/>
      </c>
      <c r="AQ10" s="1026">
        <f>R10-AP10</f>
        <v/>
      </c>
      <c r="AR10" s="411">
        <f>R10/AP10-1</f>
        <v/>
      </c>
      <c r="AS10" s="1233" t="n"/>
      <c r="AT10" s="1234" t="n">
        <v>25000000</v>
      </c>
      <c r="AU10" s="1025">
        <f>AT10+AS10</f>
        <v/>
      </c>
      <c r="AV10" s="1026">
        <f>AU10-Z10</f>
        <v/>
      </c>
      <c r="AW10" s="508">
        <f>AU10/Z10-1</f>
        <v/>
      </c>
      <c r="AX10" s="1233">
        <f>BC10/12*$A$1</f>
        <v/>
      </c>
      <c r="AY10" s="1234">
        <f>BD10/12*$A$1</f>
        <v/>
      </c>
      <c r="AZ10" s="1025">
        <f>AY10+AX10</f>
        <v/>
      </c>
      <c r="BA10" s="1026">
        <f>$R10-AZ10</f>
        <v/>
      </c>
      <c r="BB10" s="502">
        <f>$R10/AZ10-1</f>
        <v/>
      </c>
      <c r="BC10" s="1233" t="n"/>
      <c r="BD10" s="1234" t="n"/>
      <c r="BE10" s="1025">
        <f>BD10+BC10</f>
        <v/>
      </c>
      <c r="BF10" s="1026">
        <f>$R10-BE10</f>
        <v/>
      </c>
      <c r="BG10" s="502">
        <f>$R10/BE10-1</f>
        <v/>
      </c>
    </row>
    <row r="11">
      <c r="A11" s="550" t="inlineStr">
        <is>
          <t>CNR INTERNATIONAL</t>
        </is>
      </c>
      <c r="B11" s="1235">
        <f>Janvier!B11+Février!B11+Mars!B11+Avril!B11+Mai!B11+Juin!B11+Juillet!B11+Aout!B11+Septembre!B11+Octobre!B11+Novembre!B11+Décembre!B11</f>
        <v/>
      </c>
      <c r="C11" s="1236">
        <f>Janvier!C11+Février!C11+Mars!C11+Avril!C11+Mai!C11+Juin!C11+Juillet!C11+Aout!C11+Septembre!C11+Octobre!C11+Novembre!C11+Décembre!C11</f>
        <v/>
      </c>
      <c r="D11" s="1237">
        <f>Janvier!D11+Février!D11+Mars!D11+Avril!D11+Mai!D11+Juin!D11+Juillet!D11+Aout!D11+Septembre!D11+Octobre!D11+Novembre!D11+Décembre!D11</f>
        <v/>
      </c>
      <c r="E11" s="1238">
        <f>Janvier!E11+Février!E11+Mars!E11+Avril!E11+Mai!E11+Juin!E11+Juillet!E11+Aout!E11+Septembre!E11+Octobre!E11+Novembre!E11+Décembre!E11</f>
        <v/>
      </c>
      <c r="F11" s="1089">
        <f>Janvier!F11+Février!F11+Mars!F11+Avril!F11+Mai!F11+Juin!F11+Juillet!F11+Aout!F11+Septembre!F11+Octobre!F11+Novembre!F11+Décembre!F11</f>
        <v/>
      </c>
      <c r="G11" s="1239">
        <f>Janvier!G11+Février!G11+Mars!G11+Avril!G11+Mai!G11+Juin!G11+Juillet!G11+Aout!G11+Septembre!G11+Octobre!G11+Novembre!G11+Décembre!G11</f>
        <v/>
      </c>
      <c r="H11" s="1239">
        <f>Janvier!H11+Février!H11+Mars!H11+Avril!H11+Mai!H11+Juin!H11+Juillet!H11+Aout!H11+Septembre!H11+Octobre!H11+Novembre!H11+Décembre!H11</f>
        <v/>
      </c>
      <c r="I11" s="1089">
        <f>Janvier!I11+Février!I11+Mars!I11+Avril!I11+Mai!I11+Juin!I11+Juillet!I11+Aout!I11+Septembre!I11+Octobre!I11+Novembre!I11+Décembre!I11</f>
        <v/>
      </c>
      <c r="J11" s="1089">
        <f>Janvier!J11+Février!J11+Mars!J11+Avril!J11+Mai!J11+Juin!J11+Juillet!J11+Aout!J11+Septembre!J11+Octobre!J11+Novembre!J11+Décembre!J11</f>
        <v/>
      </c>
      <c r="K11" s="1097" t="n"/>
      <c r="L11" s="1240">
        <f>SUM(E11:F11,I11:K11)</f>
        <v/>
      </c>
      <c r="M11" s="1222">
        <f>L11+D11</f>
        <v/>
      </c>
      <c r="N11" s="1223">
        <f>M11/655.957</f>
        <v/>
      </c>
      <c r="O11" s="445">
        <f>A11</f>
        <v/>
      </c>
      <c r="P11" s="1224">
        <f>B11</f>
        <v/>
      </c>
      <c r="Q11" s="1224">
        <f>C11</f>
        <v/>
      </c>
      <c r="R11" s="1225">
        <f>D11</f>
        <v/>
      </c>
      <c r="S11" s="1226">
        <f>X11/12*$A$1</f>
        <v/>
      </c>
      <c r="T11" s="1226">
        <f>Y11/12*$A$1</f>
        <v/>
      </c>
      <c r="U11" s="1025" t="n">
        <v>12916667</v>
      </c>
      <c r="V11" s="1026">
        <f>$R11-U11</f>
        <v/>
      </c>
      <c r="W11" s="678">
        <f>R11/U11-1</f>
        <v/>
      </c>
      <c r="X11" s="1227" t="n">
        <v>0</v>
      </c>
      <c r="Y11" s="1227" t="n">
        <v>70000000</v>
      </c>
      <c r="Z11" s="1025">
        <f>Y11+X11</f>
        <v/>
      </c>
      <c r="AA11" s="1026">
        <f>R11-Z11</f>
        <v/>
      </c>
      <c r="AB11" s="678">
        <f>R11/Z11-1</f>
        <v/>
      </c>
      <c r="AC11" s="314">
        <f>Z11/$Z$57</f>
        <v/>
      </c>
      <c r="AD11" s="1228" t="n">
        <v>530000000</v>
      </c>
      <c r="AE11" s="1229">
        <f>AF11-AD11</f>
        <v/>
      </c>
      <c r="AF11" s="1025">
        <f>1100000000</f>
        <v/>
      </c>
      <c r="AG11" s="1026">
        <f>R11-AF11</f>
        <v/>
      </c>
      <c r="AH11" s="461">
        <f>R11/AF11-1</f>
        <v/>
      </c>
      <c r="AI11" s="1230" t="n">
        <v>530000000</v>
      </c>
      <c r="AJ11" s="1231">
        <f>AK11-AI11</f>
        <v/>
      </c>
      <c r="AK11" s="1025" t="n">
        <v>980000000</v>
      </c>
      <c r="AL11" s="1026">
        <f>R11-AK11</f>
        <v/>
      </c>
      <c r="AM11" s="459">
        <f>R11/AK11-1</f>
        <v/>
      </c>
      <c r="AN11" s="1232">
        <f>AI11/12*$A$1</f>
        <v/>
      </c>
      <c r="AO11" s="1232">
        <f>AJ11/12*$A$1</f>
        <v/>
      </c>
      <c r="AP11" s="1025">
        <f>AO11+AN11</f>
        <v/>
      </c>
      <c r="AQ11" s="1026">
        <f>R11-AP11</f>
        <v/>
      </c>
      <c r="AR11" s="411">
        <f>R11/AP11-1</f>
        <v/>
      </c>
      <c r="AS11" s="1233">
        <f>33795000*12</f>
        <v/>
      </c>
      <c r="AT11" s="1234">
        <f>125000000*2</f>
        <v/>
      </c>
      <c r="AU11" s="1025">
        <f>AT11+AS11</f>
        <v/>
      </c>
      <c r="AV11" s="1026">
        <f>AU11-Z11</f>
        <v/>
      </c>
      <c r="AW11" s="508">
        <f>AU11/Z11-1</f>
        <v/>
      </c>
      <c r="AX11" s="1233">
        <f>BC11/12*$A$1</f>
        <v/>
      </c>
      <c r="AY11" s="1234">
        <f>BD11/12*$A$1</f>
        <v/>
      </c>
      <c r="AZ11" s="1025">
        <f>AY11+AX11</f>
        <v/>
      </c>
      <c r="BA11" s="1026">
        <f>$R11-AZ11</f>
        <v/>
      </c>
      <c r="BB11" s="533">
        <f>$R11/AZ11-1</f>
        <v/>
      </c>
      <c r="BC11" s="1233">
        <f>33795000*12</f>
        <v/>
      </c>
      <c r="BD11" s="1234" t="n">
        <v>450000000</v>
      </c>
      <c r="BE11" s="1025">
        <f>BD11+BC11</f>
        <v/>
      </c>
      <c r="BF11" s="1026">
        <f>$R11-BE11</f>
        <v/>
      </c>
      <c r="BG11" s="533">
        <f>$R11/BE11-1</f>
        <v/>
      </c>
    </row>
    <row r="12">
      <c r="A12" s="550" t="inlineStr">
        <is>
          <t>DIVERS CLIENTS</t>
        </is>
      </c>
      <c r="B12" s="1235">
        <f>Janvier!B12+Février!B12+Mars!B12+Avril!B12+Mai!B12+Juin!B12+Juillet!B12+Aout!B12+Septembre!B12+Octobre!B12+Novembre!B12+Décembre!B12</f>
        <v/>
      </c>
      <c r="C12" s="1236">
        <f>Janvier!C12+Février!C12+Mars!C12+Avril!C12+Mai!C12+Juin!C12+Juillet!C12+Aout!C12+Septembre!C12+Octobre!C12+Novembre!C12+Décembre!C12</f>
        <v/>
      </c>
      <c r="D12" s="1237">
        <f>Janvier!D12+Février!D12+Mars!D12+Avril!D12+Mai!D12+Juin!D12+Juillet!D12+Aout!D12+Septembre!D12+Octobre!D12+Novembre!D12+Décembre!D12</f>
        <v/>
      </c>
      <c r="E12" s="1238">
        <f>Janvier!E12+Février!E12+Mars!E12+Avril!E12+Mai!E12+Juin!E12+Juillet!E12+Aout!E12+Septembre!E12+Octobre!E12+Novembre!E12+Décembre!E12</f>
        <v/>
      </c>
      <c r="F12" s="1089">
        <f>Janvier!F12+Février!F12+Mars!F12+Avril!F12+Mai!F12+Juin!F12+Juillet!F12+Aout!F12+Septembre!F12+Octobre!F12+Novembre!F12+Décembre!F12</f>
        <v/>
      </c>
      <c r="G12" s="1239">
        <f>Janvier!G12+Février!G12+Mars!G12+Avril!G12+Mai!G12+Juin!G12+Juillet!G12+Aout!G12+Septembre!G12+Octobre!G12+Novembre!G12+Décembre!G12</f>
        <v/>
      </c>
      <c r="H12" s="1239">
        <f>Janvier!H12+Février!H12+Mars!H12+Avril!H12+Mai!H12+Juin!H12+Juillet!H12+Aout!H12+Septembre!H12+Octobre!H12+Novembre!H12+Décembre!H12</f>
        <v/>
      </c>
      <c r="I12" s="1089">
        <f>Janvier!I12+Février!I12+Mars!I12+Avril!I12+Mai!I12+Juin!I12+Juillet!I12+Aout!I12+Septembre!I12+Octobre!I12+Novembre!I12+Décembre!I12</f>
        <v/>
      </c>
      <c r="J12" s="1089">
        <f>Janvier!J12+Février!J12+Mars!J12+Avril!J12+Mai!J12+Juin!J12+Juillet!J12+Aout!J12+Septembre!J12+Octobre!J12+Novembre!J12+Décembre!J12</f>
        <v/>
      </c>
      <c r="K12" s="1097" t="n"/>
      <c r="L12" s="1240">
        <f>SUM(E12:F12,I12:K12)</f>
        <v/>
      </c>
      <c r="M12" s="1222">
        <f>L12+D12</f>
        <v/>
      </c>
      <c r="N12" s="1223">
        <f>M12/655.957</f>
        <v/>
      </c>
      <c r="O12" s="445">
        <f>A12</f>
        <v/>
      </c>
      <c r="P12" s="1224">
        <f>B12</f>
        <v/>
      </c>
      <c r="Q12" s="1224">
        <f>C12</f>
        <v/>
      </c>
      <c r="R12" s="1225">
        <f>D12</f>
        <v/>
      </c>
      <c r="S12" s="1226">
        <f>X12/12*$A$1</f>
        <v/>
      </c>
      <c r="T12" s="1226">
        <f>Y12/12*$A$1</f>
        <v/>
      </c>
      <c r="U12" s="1025" t="n">
        <v>27957000</v>
      </c>
      <c r="V12" s="1026">
        <f>$R12-U12</f>
        <v/>
      </c>
      <c r="W12" s="678">
        <f>R12/U12-1</f>
        <v/>
      </c>
      <c r="X12" s="1227" t="n">
        <v>0</v>
      </c>
      <c r="Y12" s="1227" t="n">
        <v>200000000</v>
      </c>
      <c r="Z12" s="1025">
        <f>Y12+X12</f>
        <v/>
      </c>
      <c r="AA12" s="1026">
        <f>R12-Z12</f>
        <v/>
      </c>
      <c r="AB12" s="678">
        <f>R12/Z12-1</f>
        <v/>
      </c>
      <c r="AC12" s="314">
        <f>Z12/$Z$57</f>
        <v/>
      </c>
      <c r="AD12" s="1228" t="n"/>
      <c r="AE12" s="1229">
        <f>AF12-AD12</f>
        <v/>
      </c>
      <c r="AF12" s="1025" t="n">
        <v>65000000</v>
      </c>
      <c r="AG12" s="1026">
        <f>R12-AF12</f>
        <v/>
      </c>
      <c r="AH12" s="461">
        <f>R12/AF12-1</f>
        <v/>
      </c>
      <c r="AI12" s="1230" t="n"/>
      <c r="AJ12" s="1231">
        <f>AK12-AI12</f>
        <v/>
      </c>
      <c r="AK12" s="1025" t="n">
        <v>110000000</v>
      </c>
      <c r="AL12" s="1026">
        <f>R12-AK12</f>
        <v/>
      </c>
      <c r="AM12" s="459">
        <f>R12/AK12-1</f>
        <v/>
      </c>
      <c r="AN12" s="1232">
        <f>AI12/12*$A$1</f>
        <v/>
      </c>
      <c r="AO12" s="1232">
        <f>AJ12/12*$A$1</f>
        <v/>
      </c>
      <c r="AP12" s="1025">
        <f>AO12+AN12</f>
        <v/>
      </c>
      <c r="AQ12" s="1026">
        <f>R12-AP12</f>
        <v/>
      </c>
      <c r="AR12" s="411">
        <f>R12/AP12-1</f>
        <v/>
      </c>
      <c r="AS12" s="1233" t="n"/>
      <c r="AT12" s="1234" t="n">
        <v>475000000</v>
      </c>
      <c r="AU12" s="1025">
        <f>AT12+AS12</f>
        <v/>
      </c>
      <c r="AV12" s="1026">
        <f>AU12-Z12</f>
        <v/>
      </c>
      <c r="AW12" s="508">
        <f>AU12/Z12-1</f>
        <v/>
      </c>
      <c r="AX12" s="1233">
        <f>BC12/12*$A$1</f>
        <v/>
      </c>
      <c r="AY12" s="1234">
        <f>BD12/12*$A$1</f>
        <v/>
      </c>
      <c r="AZ12" s="1025">
        <f>AY12+AX12</f>
        <v/>
      </c>
      <c r="BA12" s="1026">
        <f>$R12-AZ12</f>
        <v/>
      </c>
      <c r="BB12" s="533">
        <f>$R12/AZ12-1</f>
        <v/>
      </c>
      <c r="BC12" s="1233" t="n"/>
      <c r="BD12" s="1234" t="n">
        <v>42000000</v>
      </c>
      <c r="BE12" s="1025">
        <f>BD12+BC12</f>
        <v/>
      </c>
      <c r="BF12" s="1026">
        <f>$R12-BE12</f>
        <v/>
      </c>
      <c r="BG12" s="533">
        <f>$R12/BE12-1</f>
        <v/>
      </c>
    </row>
    <row r="13">
      <c r="A13" s="550" t="inlineStr">
        <is>
          <t>CNR - ICM CONTRAT BATEAU SURFER</t>
        </is>
      </c>
      <c r="B13" s="1235">
        <f>Janvier!B13+Février!B13+Mars!B13+Avril!B13+Mai!B13+Juin!B13+Juillet!B13+Aout!B13+Septembre!B13+Octobre!B13+Novembre!B13+Décembre!B13</f>
        <v/>
      </c>
      <c r="C13" s="1236">
        <f>Janvier!C13+Février!C13+Mars!C13+Avril!C13+Mai!C13+Juin!C13+Juillet!C13+Aout!C13+Septembre!C13+Octobre!C13+Novembre!C13+Décembre!C13</f>
        <v/>
      </c>
      <c r="D13" s="1237">
        <f>Janvier!D13+Février!D13+Mars!D13+Avril!D13+Mai!D13+Juin!D13+Juillet!D13+Aout!D13+Septembre!D13+Octobre!D13+Novembre!D13+Décembre!D13</f>
        <v/>
      </c>
      <c r="E13" s="1238">
        <f>Janvier!E13+Février!E13+Mars!E13+Avril!E13+Mai!E13+Juin!E13+Juillet!E13+Aout!E13+Septembre!E13+Octobre!E13+Novembre!E13+Décembre!E13</f>
        <v/>
      </c>
      <c r="F13" s="1089">
        <f>Janvier!F13+Février!F13+Mars!F13+Avril!F13+Mai!F13+Juin!F13+Juillet!F13+Aout!F13+Septembre!F13+Octobre!F13+Novembre!F13+Décembre!F13</f>
        <v/>
      </c>
      <c r="G13" s="1239">
        <f>Janvier!G13+Février!G13+Mars!G13+Avril!G13+Mai!G13+Juin!G13+Juillet!G13+Aout!G13+Septembre!G13+Octobre!G13+Novembre!G13+Décembre!G13</f>
        <v/>
      </c>
      <c r="H13" s="1239">
        <f>Janvier!H13+Février!H13+Mars!H13+Avril!H13+Mai!H13+Juin!H13+Juillet!H13+Aout!H13+Septembre!H13+Octobre!H13+Novembre!H13+Décembre!H13</f>
        <v/>
      </c>
      <c r="I13" s="1089">
        <f>Janvier!I13+Février!I13+Mars!I13+Avril!I13+Mai!I13+Juin!I13+Juillet!I13+Aout!I13+Septembre!I13+Octobre!I13+Novembre!I13+Décembre!I13</f>
        <v/>
      </c>
      <c r="J13" s="1089">
        <f>Janvier!J13+Février!J13+Mars!J13+Avril!J13+Mai!J13+Juin!J13+Juillet!J13+Aout!J13+Septembre!J13+Octobre!J13+Novembre!J13+Décembre!J13</f>
        <v/>
      </c>
      <c r="K13" s="1097" t="n"/>
      <c r="L13" s="1240">
        <f>SUM(E13:F13,I13:K13)</f>
        <v/>
      </c>
      <c r="M13" s="1222">
        <f>L13+D13</f>
        <v/>
      </c>
      <c r="N13" s="1223">
        <f>M13/655.957</f>
        <v/>
      </c>
      <c r="O13" s="445">
        <f>A13</f>
        <v/>
      </c>
      <c r="P13" s="1224">
        <f>B13</f>
        <v/>
      </c>
      <c r="Q13" s="1224">
        <f>C13</f>
        <v/>
      </c>
      <c r="R13" s="1225">
        <f>D13</f>
        <v/>
      </c>
      <c r="S13" s="1226">
        <f>X13/12*$A$1</f>
        <v/>
      </c>
      <c r="T13" s="1226">
        <f>Y13/12*$A$1</f>
        <v/>
      </c>
      <c r="U13" s="1025" t="n">
        <v>0</v>
      </c>
      <c r="V13" s="1026">
        <f>$R13-U13</f>
        <v/>
      </c>
      <c r="W13" s="678">
        <f>R13/U13-1</f>
        <v/>
      </c>
      <c r="X13" s="1227" t="n">
        <v>0</v>
      </c>
      <c r="Y13" s="1227" t="n">
        <v>0</v>
      </c>
      <c r="Z13" s="1025">
        <f>Y13+X13</f>
        <v/>
      </c>
      <c r="AA13" s="1026">
        <f>R13-Z13</f>
        <v/>
      </c>
      <c r="AB13" s="678">
        <f>R13/Z13-1</f>
        <v/>
      </c>
      <c r="AC13" s="314">
        <f>Z13/$Z$57</f>
        <v/>
      </c>
      <c r="AD13" s="1228" t="n"/>
      <c r="AE13" s="1229">
        <f>AF13-AD13</f>
        <v/>
      </c>
      <c r="AF13" s="1025">
        <f>AC13*4901000000</f>
        <v/>
      </c>
      <c r="AG13" s="1026">
        <f>R13-AF13</f>
        <v/>
      </c>
      <c r="AH13" s="411">
        <f>R13/AF13-1</f>
        <v/>
      </c>
      <c r="AI13" s="1230" t="n"/>
      <c r="AJ13" s="1231">
        <f>AK13-AI13</f>
        <v/>
      </c>
      <c r="AK13" s="1025" t="n">
        <v>0</v>
      </c>
      <c r="AL13" s="1026">
        <f>R13-AK13</f>
        <v/>
      </c>
      <c r="AM13" s="411" t="n">
        <v>0</v>
      </c>
      <c r="AN13" s="1232">
        <f>AI13/12*$A$1</f>
        <v/>
      </c>
      <c r="AO13" s="1232">
        <f>AJ13/12*$A$1</f>
        <v/>
      </c>
      <c r="AP13" s="1025">
        <f>AO13+AN13</f>
        <v/>
      </c>
      <c r="AQ13" s="1026">
        <f>R13-AP13</f>
        <v/>
      </c>
      <c r="AR13" s="411" t="n">
        <v>0</v>
      </c>
      <c r="AS13" s="1233" t="n"/>
      <c r="AT13" s="1234" t="n"/>
      <c r="AU13" s="1025">
        <f>AT13+AS13</f>
        <v/>
      </c>
      <c r="AV13" s="1026">
        <f>AU13-Z13</f>
        <v/>
      </c>
      <c r="AW13" s="508">
        <f>AU13/Z13-1</f>
        <v/>
      </c>
      <c r="AX13" s="1233">
        <f>BC13/12*$A$1</f>
        <v/>
      </c>
      <c r="AY13" s="1234">
        <f>BD13/12*$A$1</f>
        <v/>
      </c>
      <c r="AZ13" s="1025">
        <f>AY13+AX13</f>
        <v/>
      </c>
      <c r="BA13" s="1026">
        <f>$R13-AZ13</f>
        <v/>
      </c>
      <c r="BB13" s="508">
        <f>$R13/AZ13-1</f>
        <v/>
      </c>
      <c r="BC13" s="1233" t="n"/>
      <c r="BD13" s="1234" t="n"/>
      <c r="BE13" s="1025">
        <f>BD13+BC13</f>
        <v/>
      </c>
      <c r="BF13" s="1026">
        <f>$R13-BE13</f>
        <v/>
      </c>
      <c r="BG13" s="508">
        <f>$R13/BE13-1</f>
        <v/>
      </c>
    </row>
    <row r="14">
      <c r="A14" s="694" t="inlineStr">
        <is>
          <t>PETRO DISTRIBUTIONS</t>
        </is>
      </c>
      <c r="B14" s="1235">
        <f>Janvier!B14+Février!B14+Mars!B14+Avril!B14+Mai!B14+Juin!B14+Juillet!B14+Aout!B14+Septembre!B14+Octobre!B14+Novembre!B14+Décembre!B14</f>
        <v/>
      </c>
      <c r="C14" s="1236">
        <f>Janvier!C14+Février!C14+Mars!C14+Avril!C14+Mai!C14+Juin!C14+Juillet!C14+Aout!C14+Septembre!C14+Octobre!C14+Novembre!C14+Décembre!C14</f>
        <v/>
      </c>
      <c r="D14" s="1237">
        <f>Janvier!D14+Février!D14+Mars!D14+Avril!D14+Mai!D14+Juin!D14+Juillet!D14+Aout!D14+Septembre!D14+Octobre!D14+Novembre!D14+Décembre!D14</f>
        <v/>
      </c>
      <c r="E14" s="1238">
        <f>Janvier!E14+Février!E14+Mars!E14+Avril!E14+Mai!E14+Juin!E14+Juillet!E14+Aout!E14+Septembre!E14+Octobre!E14+Novembre!E14+Décembre!E14</f>
        <v/>
      </c>
      <c r="F14" s="1089">
        <f>Janvier!F14+Février!F14+Mars!F14+Avril!F14+Mai!F14+Juin!F14+Juillet!F14+Aout!F14+Septembre!F14+Octobre!F14+Novembre!F14+Décembre!F14</f>
        <v/>
      </c>
      <c r="G14" s="1239">
        <f>Janvier!G14+Février!G14+Mars!G14+Avril!G14+Mai!G14+Juin!G14+Juillet!G14+Aout!G14+Septembre!G14+Octobre!G14+Novembre!G14+Décembre!G14</f>
        <v/>
      </c>
      <c r="H14" s="1239">
        <f>Janvier!H14+Février!H14+Mars!H14+Avril!H14+Mai!H14+Juin!H14+Juillet!H14+Aout!H14+Septembre!H14+Octobre!H14+Novembre!H14+Décembre!H14</f>
        <v/>
      </c>
      <c r="I14" s="1089">
        <f>Janvier!I14+Février!I14+Mars!I14+Avril!I14+Mai!I14+Juin!I14+Juillet!I14+Aout!I14+Septembre!I14+Octobre!I14+Novembre!I14+Décembre!I14</f>
        <v/>
      </c>
      <c r="J14" s="1089">
        <f>Janvier!J14+Février!J14+Mars!J14+Avril!J14+Mai!J14+Juin!J14+Juillet!J14+Aout!J14+Septembre!J14+Octobre!J14+Novembre!J14+Décembre!J14</f>
        <v/>
      </c>
      <c r="K14" s="1097" t="n"/>
      <c r="L14" s="1240">
        <f>SUM(E14:F14,I14:K14)</f>
        <v/>
      </c>
      <c r="M14" s="1222">
        <f>L14+D14</f>
        <v/>
      </c>
      <c r="N14" s="1223">
        <f>M14/655.957</f>
        <v/>
      </c>
      <c r="O14" s="445">
        <f>A14</f>
        <v/>
      </c>
      <c r="P14" s="1224">
        <f>B14</f>
        <v/>
      </c>
      <c r="Q14" s="1224">
        <f>C14</f>
        <v/>
      </c>
      <c r="R14" s="1225">
        <f>D14</f>
        <v/>
      </c>
      <c r="S14" s="1226">
        <f>X14/12*$A$1</f>
        <v/>
      </c>
      <c r="T14" s="1226">
        <f>Y14/12*$A$1</f>
        <v/>
      </c>
      <c r="U14" s="1025" t="n">
        <v>2000</v>
      </c>
      <c r="V14" s="1026">
        <f>$R14-U14</f>
        <v/>
      </c>
      <c r="W14" s="678">
        <f>R14/U14-1</f>
        <v/>
      </c>
      <c r="X14" s="1227" t="n"/>
      <c r="Y14" s="1227" t="n"/>
      <c r="Z14" s="1025">
        <f>Y14+X14</f>
        <v/>
      </c>
      <c r="AA14" s="1026">
        <f>R14-Z14</f>
        <v/>
      </c>
      <c r="AB14" s="678">
        <f>R14/Z14-1</f>
        <v/>
      </c>
      <c r="AC14" s="314">
        <f>Z14/$Z$57</f>
        <v/>
      </c>
      <c r="AD14" s="1228" t="n">
        <v>50000000</v>
      </c>
      <c r="AE14" s="1229">
        <f>AF14-AD14</f>
        <v/>
      </c>
      <c r="AF14" s="1025" t="n">
        <v>100000000</v>
      </c>
      <c r="AG14" s="1026">
        <f>R14-AF14</f>
        <v/>
      </c>
      <c r="AH14" s="461">
        <f>R14/AF14-1</f>
        <v/>
      </c>
      <c r="AI14" s="1230" t="n"/>
      <c r="AJ14" s="1231">
        <f>AK14-AI14</f>
        <v/>
      </c>
      <c r="AK14" s="1025" t="n"/>
      <c r="AL14" s="1026">
        <f>R14-AK14</f>
        <v/>
      </c>
      <c r="AM14" s="411" t="n">
        <v>0</v>
      </c>
      <c r="AN14" s="1232">
        <f>AI14/12*$A$1</f>
        <v/>
      </c>
      <c r="AO14" s="1232">
        <f>AJ14/12*$A$1</f>
        <v/>
      </c>
      <c r="AP14" s="1025">
        <f>AO14+AN14</f>
        <v/>
      </c>
      <c r="AQ14" s="1026">
        <f>R14-AP14</f>
        <v/>
      </c>
      <c r="AR14" s="411" t="n">
        <v>0</v>
      </c>
      <c r="AS14" s="1233" t="n"/>
      <c r="AT14" s="1234" t="n"/>
      <c r="AU14" s="1025">
        <f>AT14+AS14</f>
        <v/>
      </c>
      <c r="AV14" s="1026">
        <f>AU14-Z14</f>
        <v/>
      </c>
      <c r="AW14" s="508">
        <f>AU14/Z14-1</f>
        <v/>
      </c>
      <c r="AX14" s="1233">
        <f>BC14/12*$A$1</f>
        <v/>
      </c>
      <c r="AY14" s="1234">
        <f>BD14/12*$A$1</f>
        <v/>
      </c>
      <c r="AZ14" s="1025">
        <f>AY14+AX14</f>
        <v/>
      </c>
      <c r="BA14" s="1026">
        <f>$R14-AZ14</f>
        <v/>
      </c>
      <c r="BB14" s="502">
        <f>$R14/AZ14-1</f>
        <v/>
      </c>
      <c r="BC14" s="1233" t="n"/>
      <c r="BD14" s="1234" t="n"/>
      <c r="BE14" s="1025">
        <f>BD14+BC14</f>
        <v/>
      </c>
      <c r="BF14" s="1026">
        <f>$R14-BE14</f>
        <v/>
      </c>
      <c r="BG14" s="502">
        <f>$R14/BE14-1</f>
        <v/>
      </c>
    </row>
    <row r="15">
      <c r="A15" s="550" t="inlineStr">
        <is>
          <t xml:space="preserve">EXPRO GROUP </t>
        </is>
      </c>
      <c r="B15" s="1235">
        <f>Janvier!B15+Février!B15+Mars!B15+Avril!B15+Mai!B15+Juin!B15+Juillet!B15+Aout!B15+Septembre!B15+Octobre!B15+Novembre!B15+Décembre!B15</f>
        <v/>
      </c>
      <c r="C15" s="1236">
        <f>Janvier!C15+Février!C15+Mars!C15+Avril!C15+Mai!C15+Juin!C15+Juillet!C15+Aout!C15+Septembre!C15+Octobre!C15+Novembre!C15+Décembre!C15</f>
        <v/>
      </c>
      <c r="D15" s="1237">
        <f>Janvier!D15+Février!D15+Mars!D15+Avril!D15+Mai!D15+Juin!D15+Juillet!D15+Aout!D15+Septembre!D15+Octobre!D15+Novembre!D15+Décembre!D15</f>
        <v/>
      </c>
      <c r="E15" s="1238">
        <f>Janvier!E15+Février!E15+Mars!E15+Avril!E15+Mai!E15+Juin!E15+Juillet!E15+Aout!E15+Septembre!E15+Octobre!E15+Novembre!E15+Décembre!E15</f>
        <v/>
      </c>
      <c r="F15" s="1089">
        <f>Janvier!F15+Février!F15+Mars!F15+Avril!F15+Mai!F15+Juin!F15+Juillet!F15+Aout!F15+Septembre!F15+Octobre!F15+Novembre!F15+Décembre!F15</f>
        <v/>
      </c>
      <c r="G15" s="1239">
        <f>Janvier!G15+Février!G15+Mars!G15+Avril!G15+Mai!G15+Juin!G15+Juillet!G15+Aout!G15+Septembre!G15+Octobre!G15+Novembre!G15+Décembre!G15</f>
        <v/>
      </c>
      <c r="H15" s="1239">
        <f>Janvier!H15+Février!H15+Mars!H15+Avril!H15+Mai!H15+Juin!H15+Juillet!H15+Aout!H15+Septembre!H15+Octobre!H15+Novembre!H15+Décembre!H15</f>
        <v/>
      </c>
      <c r="I15" s="1089">
        <f>Janvier!I15+Février!I15+Mars!I15+Avril!I15+Mai!I15+Juin!I15+Juillet!I15+Aout!I15+Septembre!I15+Octobre!I15+Novembre!I15+Décembre!I15</f>
        <v/>
      </c>
      <c r="J15" s="1089">
        <f>Janvier!J15+Février!J15+Mars!J15+Avril!J15+Mai!J15+Juin!J15+Juillet!J15+Aout!J15+Septembre!J15+Octobre!J15+Novembre!J15+Décembre!J15</f>
        <v/>
      </c>
      <c r="K15" s="1097" t="n"/>
      <c r="L15" s="1240">
        <f>SUM(E15:F15,I15:K15)</f>
        <v/>
      </c>
      <c r="M15" s="1222">
        <f>L15+D15</f>
        <v/>
      </c>
      <c r="N15" s="1223">
        <f>M15/655.957</f>
        <v/>
      </c>
      <c r="O15" s="445">
        <f>A15</f>
        <v/>
      </c>
      <c r="P15" s="1224">
        <f>B15</f>
        <v/>
      </c>
      <c r="Q15" s="1224">
        <f>C15</f>
        <v/>
      </c>
      <c r="R15" s="1225">
        <f>D15</f>
        <v/>
      </c>
      <c r="S15" s="1226">
        <f>X15/12*$A$1</f>
        <v/>
      </c>
      <c r="T15" s="1226">
        <f>Y15/12*$A$1</f>
        <v/>
      </c>
      <c r="U15" s="1025" t="n">
        <v>833000</v>
      </c>
      <c r="V15" s="1026">
        <f>$R15-U15</f>
        <v/>
      </c>
      <c r="W15" s="678">
        <f>R15/U15-1</f>
        <v/>
      </c>
      <c r="X15" s="1227" t="n">
        <v>0</v>
      </c>
      <c r="Y15" s="1227" t="n">
        <v>0</v>
      </c>
      <c r="Z15" s="1025">
        <f>Y15+X15</f>
        <v/>
      </c>
      <c r="AA15" s="1026">
        <f>R15-Z15</f>
        <v/>
      </c>
      <c r="AB15" s="678">
        <f>R15/Z15-1</f>
        <v/>
      </c>
      <c r="AC15" s="314">
        <f>Z15/$Z$57</f>
        <v/>
      </c>
      <c r="AD15" s="1228" t="n">
        <v>70000000</v>
      </c>
      <c r="AE15" s="1229">
        <f>AF15-AD15</f>
        <v/>
      </c>
      <c r="AF15" s="1025" t="n">
        <v>78000000</v>
      </c>
      <c r="AG15" s="1026">
        <f>R15-AF15</f>
        <v/>
      </c>
      <c r="AH15" s="461">
        <f>R15/AF15-1</f>
        <v/>
      </c>
      <c r="AI15" s="1230" t="n">
        <v>70000000</v>
      </c>
      <c r="AJ15" s="1231">
        <f>AK15-AI15</f>
        <v/>
      </c>
      <c r="AK15" s="1025" t="n">
        <v>78000000</v>
      </c>
      <c r="AL15" s="1026">
        <f>R15-AK15</f>
        <v/>
      </c>
      <c r="AM15" s="457">
        <f>R15/AK15-1</f>
        <v/>
      </c>
      <c r="AN15" s="1232">
        <f>AI15/12*$A$1</f>
        <v/>
      </c>
      <c r="AO15" s="1232">
        <f>AJ15/12*$A$1</f>
        <v/>
      </c>
      <c r="AP15" s="1025">
        <f>AO15+AN15</f>
        <v/>
      </c>
      <c r="AQ15" s="1026">
        <f>R15-AP15</f>
        <v/>
      </c>
      <c r="AR15" s="461">
        <f>R15/AP15-1</f>
        <v/>
      </c>
      <c r="AS15" s="1233">
        <f>4784000*2+5076000*10</f>
        <v/>
      </c>
      <c r="AT15" s="1234" t="n">
        <v>40000000</v>
      </c>
      <c r="AU15" s="1025">
        <f>AT15+AS15</f>
        <v/>
      </c>
      <c r="AV15" s="1026">
        <f>AU15-Z15</f>
        <v/>
      </c>
      <c r="AW15" s="508">
        <f>AU15/Z15-1</f>
        <v/>
      </c>
      <c r="AX15" s="1233">
        <f>BC15/12*$A$1</f>
        <v/>
      </c>
      <c r="AY15" s="1234">
        <f>BD15/12*$A$1</f>
        <v/>
      </c>
      <c r="AZ15" s="1025">
        <f>AY15+AX15</f>
        <v/>
      </c>
      <c r="BA15" s="1026">
        <f>$R15-AZ15</f>
        <v/>
      </c>
      <c r="BB15" s="502">
        <f>$R15/AZ15-1</f>
        <v/>
      </c>
      <c r="BC15" s="1233" t="n">
        <v>60000000</v>
      </c>
      <c r="BD15" s="1234" t="n">
        <v>70000000</v>
      </c>
      <c r="BE15" s="1025">
        <f>BD15+BC15</f>
        <v/>
      </c>
      <c r="BF15" s="1026">
        <f>$R15-BE15</f>
        <v/>
      </c>
      <c r="BG15" s="502">
        <f>$R15/BE15-1</f>
        <v/>
      </c>
    </row>
    <row r="16">
      <c r="A16" s="694" t="inlineStr">
        <is>
          <t>SUPERMARITIME</t>
        </is>
      </c>
      <c r="B16" s="1235">
        <f>Janvier!B16+Février!B16+Mars!B16+Avril!B16+Mai!B16+Juin!B16+Juillet!B16+Aout!B16+Septembre!B16+Octobre!B16+Novembre!B16+Décembre!B16</f>
        <v/>
      </c>
      <c r="C16" s="1236">
        <f>Janvier!C16+Février!C16+Mars!C16+Avril!C16+Mai!C16+Juin!C16+Juillet!C16+Aout!C16+Septembre!C16+Octobre!C16+Novembre!C16+Décembre!C16</f>
        <v/>
      </c>
      <c r="D16" s="1237">
        <f>Janvier!D16+Février!D16+Mars!D16+Avril!D16+Mai!D16+Juin!D16+Juillet!D16+Aout!D16+Septembre!D16+Octobre!D16+Novembre!D16+Décembre!D16</f>
        <v/>
      </c>
      <c r="E16" s="1238">
        <f>Janvier!E16+Février!E16+Mars!E16+Avril!E16+Mai!E16+Juin!E16+Juillet!E16+Aout!E16+Septembre!E16+Octobre!E16+Novembre!E16+Décembre!E16</f>
        <v/>
      </c>
      <c r="F16" s="1089">
        <f>Janvier!F16+Février!F16+Mars!F16+Avril!F16+Mai!F16+Juin!F16+Juillet!F16+Aout!F16+Septembre!F16+Octobre!F16+Novembre!F16+Décembre!F16</f>
        <v/>
      </c>
      <c r="G16" s="1239">
        <f>Janvier!G16+Février!G16+Mars!G16+Avril!G16+Mai!G16+Juin!G16+Juillet!G16+Aout!G16+Septembre!G16+Octobre!G16+Novembre!G16+Décembre!G16</f>
        <v/>
      </c>
      <c r="H16" s="1239">
        <f>Janvier!H16+Février!H16+Mars!H16+Avril!H16+Mai!H16+Juin!H16+Juillet!H16+Aout!H16+Septembre!H16+Octobre!H16+Novembre!H16+Décembre!H16</f>
        <v/>
      </c>
      <c r="I16" s="1089">
        <f>Janvier!I16+Février!I16+Mars!I16+Avril!I16+Mai!I16+Juin!I16+Juillet!I16+Aout!I16+Septembre!I16+Octobre!I16+Novembre!I16+Décembre!I16</f>
        <v/>
      </c>
      <c r="J16" s="1089">
        <f>Janvier!J16+Février!J16+Mars!J16+Avril!J16+Mai!J16+Juin!J16+Juillet!J16+Aout!J16+Septembre!J16+Octobre!J16+Novembre!J16+Décembre!J16</f>
        <v/>
      </c>
      <c r="K16" s="1097" t="n"/>
      <c r="L16" s="1240">
        <f>SUM(E16:F16,I16:K16)</f>
        <v/>
      </c>
      <c r="M16" s="1222">
        <f>L16+D16</f>
        <v/>
      </c>
      <c r="N16" s="1223">
        <f>M16/655.957</f>
        <v/>
      </c>
      <c r="O16" s="445">
        <f>A16</f>
        <v/>
      </c>
      <c r="P16" s="1224">
        <f>B16</f>
        <v/>
      </c>
      <c r="Q16" s="1224">
        <f>C16</f>
        <v/>
      </c>
      <c r="R16" s="1225">
        <f>D16</f>
        <v/>
      </c>
      <c r="S16" s="1226">
        <f>X16/12*$A$1</f>
        <v/>
      </c>
      <c r="T16" s="1226">
        <f>Y16/12*$A$1</f>
        <v/>
      </c>
      <c r="U16" s="1025" t="n">
        <v>165000</v>
      </c>
      <c r="V16" s="1026">
        <f>$R16-U16</f>
        <v/>
      </c>
      <c r="W16" s="678">
        <f>R16/U16-1</f>
        <v/>
      </c>
      <c r="X16" s="1227" t="n"/>
      <c r="Y16" s="1227" t="n"/>
      <c r="Z16" s="1025">
        <f>Y16+X16</f>
        <v/>
      </c>
      <c r="AA16" s="1026">
        <f>R16-Z16</f>
        <v/>
      </c>
      <c r="AB16" s="678">
        <f>R16/Z16-1</f>
        <v/>
      </c>
      <c r="AC16" s="314">
        <f>Z16/$Z$57</f>
        <v/>
      </c>
      <c r="AD16" s="1228" t="n"/>
      <c r="AE16" s="1229">
        <f>AF16-AD16</f>
        <v/>
      </c>
      <c r="AF16" s="1025">
        <f>AC16*4901000000</f>
        <v/>
      </c>
      <c r="AG16" s="1026">
        <f>R16-AF16</f>
        <v/>
      </c>
      <c r="AH16" s="411">
        <f>R16/AF16-1</f>
        <v/>
      </c>
      <c r="AI16" s="1230" t="n"/>
      <c r="AJ16" s="1231">
        <f>AK16-AI16</f>
        <v/>
      </c>
      <c r="AK16" s="1025" t="n">
        <v>0</v>
      </c>
      <c r="AL16" s="1026">
        <f>R16-AK16</f>
        <v/>
      </c>
      <c r="AM16" s="411" t="n">
        <v>0</v>
      </c>
      <c r="AN16" s="1232">
        <f>AI16/12*$A$1</f>
        <v/>
      </c>
      <c r="AO16" s="1232">
        <f>AJ16/12*$A$1</f>
        <v/>
      </c>
      <c r="AP16" s="1025">
        <f>AO16+AN16</f>
        <v/>
      </c>
      <c r="AQ16" s="1026">
        <f>R16-AP16</f>
        <v/>
      </c>
      <c r="AR16" s="411" t="n">
        <v>0</v>
      </c>
      <c r="AS16" s="1233" t="n"/>
      <c r="AT16" s="1234" t="n"/>
      <c r="AU16" s="1025">
        <f>AT16+AS16</f>
        <v/>
      </c>
      <c r="AV16" s="1026">
        <f>AU16-Z16</f>
        <v/>
      </c>
      <c r="AW16" s="508">
        <f>AU16/Z16-1</f>
        <v/>
      </c>
      <c r="AX16" s="1233">
        <f>BC16/12*$A$1</f>
        <v/>
      </c>
      <c r="AY16" s="1234">
        <f>BD16/12*$A$1</f>
        <v/>
      </c>
      <c r="AZ16" s="1025">
        <f>AY16+AX16</f>
        <v/>
      </c>
      <c r="BA16" s="1026">
        <f>$R16-AZ16</f>
        <v/>
      </c>
      <c r="BB16" s="508">
        <f>$R16/AZ16-1</f>
        <v/>
      </c>
      <c r="BC16" s="1233" t="n"/>
      <c r="BD16" s="1234" t="n"/>
      <c r="BE16" s="1025">
        <f>BD16+BC16</f>
        <v/>
      </c>
      <c r="BF16" s="1026">
        <f>$R16-BE16</f>
        <v/>
      </c>
      <c r="BG16" s="508">
        <f>$R16/BE16-1</f>
        <v/>
      </c>
    </row>
    <row r="17">
      <c r="A17" s="550" t="inlineStr">
        <is>
          <t>FOXTROT INTERNATIONAL</t>
        </is>
      </c>
      <c r="B17" s="1235">
        <f>Janvier!B17+Février!B17+Mars!B17+Avril!B17+Mai!B17+Juin!B17+Juillet!B17+Aout!B17+Septembre!B17+Octobre!B17+Novembre!B17+Décembre!B17</f>
        <v/>
      </c>
      <c r="C17" s="1236">
        <f>Janvier!C17+Février!C17+Mars!C17+Avril!C17+Mai!C17+Juin!C17+Juillet!C17+Aout!C17+Septembre!C17+Octobre!C17+Novembre!C17+Décembre!C17</f>
        <v/>
      </c>
      <c r="D17" s="1237">
        <f>Janvier!D17+Février!D17+Mars!D17+Avril!D17+Mai!D17+Juin!D17+Juillet!D17+Aout!D17+Septembre!D17+Octobre!D17+Novembre!D17+Décembre!D17</f>
        <v/>
      </c>
      <c r="E17" s="1238">
        <f>Janvier!E17+Février!E17+Mars!E17+Avril!E17+Mai!E17+Juin!E17+Juillet!E17+Aout!E17+Septembre!E17+Octobre!E17+Novembre!E17+Décembre!E17</f>
        <v/>
      </c>
      <c r="F17" s="1089">
        <f>Janvier!F17+Février!F17+Mars!F17+Avril!F17+Mai!F17+Juin!F17+Juillet!F17+Aout!F17+Septembre!F17+Octobre!F17+Novembre!F17+Décembre!F17</f>
        <v/>
      </c>
      <c r="G17" s="1239">
        <f>Janvier!G17+Février!G17+Mars!G17+Avril!G17+Mai!G17+Juin!G17+Juillet!G17+Aout!G17+Septembre!G17+Octobre!G17+Novembre!G17+Décembre!G17</f>
        <v/>
      </c>
      <c r="H17" s="1239">
        <f>Janvier!H17+Février!H17+Mars!H17+Avril!H17+Mai!H17+Juin!H17+Juillet!H17+Aout!H17+Septembre!H17+Octobre!H17+Novembre!H17+Décembre!H17</f>
        <v/>
      </c>
      <c r="I17" s="1089">
        <f>Janvier!I17+Février!I17+Mars!I17+Avril!I17+Mai!I17+Juin!I17+Juillet!I17+Aout!I17+Septembre!I17+Octobre!I17+Novembre!I17+Décembre!I17</f>
        <v/>
      </c>
      <c r="J17" s="1089">
        <f>Janvier!J17+Février!J17+Mars!J17+Avril!J17+Mai!J17+Juin!J17+Juillet!J17+Aout!J17+Septembre!J17+Octobre!J17+Novembre!J17+Décembre!J17</f>
        <v/>
      </c>
      <c r="K17" s="1097" t="n"/>
      <c r="L17" s="1240">
        <f>SUM(E17:F17,I17:K17)</f>
        <v/>
      </c>
      <c r="M17" s="1222">
        <f>L17+D17</f>
        <v/>
      </c>
      <c r="N17" s="1223">
        <f>M17/655.957</f>
        <v/>
      </c>
      <c r="O17" s="445">
        <f>A17</f>
        <v/>
      </c>
      <c r="P17" s="1224">
        <f>B17</f>
        <v/>
      </c>
      <c r="Q17" s="1224">
        <f>C17</f>
        <v/>
      </c>
      <c r="R17" s="1225">
        <f>D17</f>
        <v/>
      </c>
      <c r="S17" s="1226">
        <f>X17/12*$A$1</f>
        <v/>
      </c>
      <c r="T17" s="1226">
        <f>Y17/12*$A$1</f>
        <v/>
      </c>
      <c r="U17" s="1025" t="n">
        <v>41667000</v>
      </c>
      <c r="V17" s="1026">
        <f>$R17-U17</f>
        <v/>
      </c>
      <c r="W17" s="678">
        <f>R17/U17-1</f>
        <v/>
      </c>
      <c r="X17" s="1227" t="n">
        <v>335000000</v>
      </c>
      <c r="Y17" s="1227" t="n">
        <v>300000000</v>
      </c>
      <c r="Z17" s="1025">
        <f>Y17+X17</f>
        <v/>
      </c>
      <c r="AA17" s="1026">
        <f>R17-Z17</f>
        <v/>
      </c>
      <c r="AB17" s="678">
        <f>R17/Z17-1</f>
        <v/>
      </c>
      <c r="AC17" s="314">
        <f>Z17/$Z$57</f>
        <v/>
      </c>
      <c r="AD17" s="1228">
        <f>(6900000*6)+(27649000*6)</f>
        <v/>
      </c>
      <c r="AE17" s="1229">
        <f>AF17-AD17</f>
        <v/>
      </c>
      <c r="AF17" s="1025" t="n">
        <v>600000000</v>
      </c>
      <c r="AG17" s="1026">
        <f>R17-AF17</f>
        <v/>
      </c>
      <c r="AH17" s="461">
        <f>R17/AF17-1</f>
        <v/>
      </c>
      <c r="AI17" s="1230" t="n">
        <v>247294000</v>
      </c>
      <c r="AJ17" s="1231">
        <f>AK17-AI17</f>
        <v/>
      </c>
      <c r="AK17" s="1025" t="n">
        <v>787294000</v>
      </c>
      <c r="AL17" s="1026">
        <f>R17-AK17</f>
        <v/>
      </c>
      <c r="AM17" s="459">
        <f>R17/AK17-1</f>
        <v/>
      </c>
      <c r="AN17" s="1232">
        <f>AI17/12*$A$1</f>
        <v/>
      </c>
      <c r="AO17" s="1232">
        <f>AJ17/12*$A$1</f>
        <v/>
      </c>
      <c r="AP17" s="1025">
        <f>AO17+AN17</f>
        <v/>
      </c>
      <c r="AQ17" s="1026">
        <f>R17-AP17</f>
        <v/>
      </c>
      <c r="AR17" s="411">
        <f>R17/AP17-1</f>
        <v/>
      </c>
      <c r="AS17" s="1233">
        <f>83748000*4</f>
        <v/>
      </c>
      <c r="AT17" s="1234">
        <f>247000000+6*45000000+25000000+30000000</f>
        <v/>
      </c>
      <c r="AU17" s="1025">
        <f>AT17+AS17</f>
        <v/>
      </c>
      <c r="AV17" s="1026">
        <f>AU17-Z17</f>
        <v/>
      </c>
      <c r="AW17" s="508">
        <f>AU17/Z17-1</f>
        <v/>
      </c>
      <c r="AX17" s="1233">
        <f>BC17/12*$A$1</f>
        <v/>
      </c>
      <c r="AY17" s="1234">
        <f>BD17/12*$A$1</f>
        <v/>
      </c>
      <c r="AZ17" s="1025">
        <f>AY17+AX17</f>
        <v/>
      </c>
      <c r="BA17" s="1026">
        <f>$R17-AZ17</f>
        <v/>
      </c>
      <c r="BB17" s="502">
        <f>$R17/AZ17-1</f>
        <v/>
      </c>
      <c r="BC17" s="1233" t="n">
        <v>335000000</v>
      </c>
      <c r="BD17" s="1234" t="n">
        <v>850000000</v>
      </c>
      <c r="BE17" s="1025">
        <f>BD17+BC17</f>
        <v/>
      </c>
      <c r="BF17" s="1026">
        <f>$R17-BE17</f>
        <v/>
      </c>
      <c r="BG17" s="533">
        <f>$R17/BE17-1</f>
        <v/>
      </c>
    </row>
    <row r="18">
      <c r="A18" s="550" t="inlineStr">
        <is>
          <t>COMEXAS - CI</t>
        </is>
      </c>
      <c r="B18" s="1235">
        <f>Janvier!B18+Février!B18+Mars!B18+Avril!B18+Mai!B18+Juin!B18+Juillet!B18+Aout!B18+Septembre!B18+Octobre!B18+Novembre!B18+Décembre!B18</f>
        <v/>
      </c>
      <c r="C18" s="1236">
        <f>Janvier!C18+Février!C18+Mars!C18+Avril!C18+Mai!C18+Juin!C18+Juillet!C18+Aout!C18+Septembre!C18+Octobre!C18+Novembre!C18+Décembre!C18</f>
        <v/>
      </c>
      <c r="D18" s="1237">
        <f>Janvier!D18+Février!D18+Mars!D18+Avril!D18+Mai!D18+Juin!D18+Juillet!D18+Aout!D18+Septembre!D18+Octobre!D18+Novembre!D18+Décembre!D18</f>
        <v/>
      </c>
      <c r="E18" s="1238">
        <f>Janvier!E18+Février!E18+Mars!E18+Avril!E18+Mai!E18+Juin!E18+Juillet!E18+Aout!E18+Septembre!E18+Octobre!E18+Novembre!E18+Décembre!E18</f>
        <v/>
      </c>
      <c r="F18" s="1089">
        <f>Janvier!F18+Février!F18+Mars!F18+Avril!F18+Mai!F18+Juin!F18+Juillet!F18+Aout!F18+Septembre!F18+Octobre!F18+Novembre!F18+Décembre!F18</f>
        <v/>
      </c>
      <c r="G18" s="1239">
        <f>Janvier!G18+Février!G18+Mars!G18+Avril!G18+Mai!G18+Juin!G18+Juillet!G18+Aout!G18+Septembre!G18+Octobre!G18+Novembre!G18+Décembre!G18</f>
        <v/>
      </c>
      <c r="H18" s="1239">
        <f>Janvier!H18+Février!H18+Mars!H18+Avril!H18+Mai!H18+Juin!H18+Juillet!H18+Aout!H18+Septembre!H18+Octobre!H18+Novembre!H18+Décembre!H18</f>
        <v/>
      </c>
      <c r="I18" s="1089">
        <f>Janvier!I18+Février!I18+Mars!I18+Avril!I18+Mai!I18+Juin!I18+Juillet!I18+Aout!I18+Septembre!I18+Octobre!I18+Novembre!I18+Décembre!I18</f>
        <v/>
      </c>
      <c r="J18" s="1089">
        <f>Janvier!J18+Février!J18+Mars!J18+Avril!J18+Mai!J18+Juin!J18+Juillet!J18+Aout!J18+Septembre!J18+Octobre!J18+Novembre!J18+Décembre!J18</f>
        <v/>
      </c>
      <c r="K18" s="1097" t="n"/>
      <c r="L18" s="1240">
        <f>SUM(E18:F18,I18:K18)</f>
        <v/>
      </c>
      <c r="M18" s="1222">
        <f>L18+D18</f>
        <v/>
      </c>
      <c r="N18" s="1223">
        <f>M18/655.957</f>
        <v/>
      </c>
      <c r="O18" s="445">
        <f>A18</f>
        <v/>
      </c>
      <c r="P18" s="1224">
        <f>B18</f>
        <v/>
      </c>
      <c r="Q18" s="1224">
        <f>C18</f>
        <v/>
      </c>
      <c r="R18" s="1225">
        <f>D18</f>
        <v/>
      </c>
      <c r="S18" s="1226">
        <f>X18/12*$A$1</f>
        <v/>
      </c>
      <c r="T18" s="1226">
        <f>Y18/12*$A$1</f>
        <v/>
      </c>
      <c r="U18" s="1025" t="n">
        <v>0</v>
      </c>
      <c r="V18" s="1026">
        <f>$R18-U18</f>
        <v/>
      </c>
      <c r="W18" s="678">
        <f>R18/U18-1</f>
        <v/>
      </c>
      <c r="X18" s="1227" t="n"/>
      <c r="Y18" s="1227" t="n"/>
      <c r="Z18" s="1025">
        <f>Y18+X18</f>
        <v/>
      </c>
      <c r="AA18" s="1026">
        <f>R18-Z18</f>
        <v/>
      </c>
      <c r="AB18" s="678">
        <f>R18/Z18-1</f>
        <v/>
      </c>
      <c r="AC18" s="314">
        <f>Z18/$Z$57</f>
        <v/>
      </c>
      <c r="AD18" s="1228" t="n"/>
      <c r="AE18" s="1229">
        <f>AF18-AD18</f>
        <v/>
      </c>
      <c r="AF18" s="1025">
        <f>AC18*4901000000</f>
        <v/>
      </c>
      <c r="AG18" s="1026">
        <f>R18-AF18</f>
        <v/>
      </c>
      <c r="AH18" s="411">
        <f>R18/AF18-1</f>
        <v/>
      </c>
      <c r="AI18" s="1230" t="n"/>
      <c r="AJ18" s="1231">
        <f>AK18-AI18</f>
        <v/>
      </c>
      <c r="AK18" s="1025" t="n">
        <v>0</v>
      </c>
      <c r="AL18" s="1026">
        <f>R18-AK18</f>
        <v/>
      </c>
      <c r="AM18" s="411" t="n">
        <v>0</v>
      </c>
      <c r="AN18" s="1232">
        <f>AI18/12*$A$1</f>
        <v/>
      </c>
      <c r="AO18" s="1232">
        <f>AJ18/12*$A$1</f>
        <v/>
      </c>
      <c r="AP18" s="1025">
        <f>AO18+AN18</f>
        <v/>
      </c>
      <c r="AQ18" s="1026">
        <f>R18-AP18</f>
        <v/>
      </c>
      <c r="AR18" s="411" t="n">
        <v>0</v>
      </c>
      <c r="AS18" s="1233" t="n"/>
      <c r="AT18" s="1234" t="n"/>
      <c r="AU18" s="1025">
        <f>AT18+AS18</f>
        <v/>
      </c>
      <c r="AV18" s="1026">
        <f>AU18-Z18</f>
        <v/>
      </c>
      <c r="AW18" s="508">
        <f>AU18/Z18-1</f>
        <v/>
      </c>
      <c r="AX18" s="1233">
        <f>BC18/12*$A$1</f>
        <v/>
      </c>
      <c r="AY18" s="1234">
        <f>BD18/12*$A$1</f>
        <v/>
      </c>
      <c r="AZ18" s="1025">
        <f>AY18+AX18</f>
        <v/>
      </c>
      <c r="BA18" s="1026">
        <f>$R18-AZ18</f>
        <v/>
      </c>
      <c r="BB18" s="508">
        <f>$R18/AZ18-1</f>
        <v/>
      </c>
      <c r="BC18" s="1233" t="n"/>
      <c r="BD18" s="1234" t="n"/>
      <c r="BE18" s="1025">
        <f>BD18+BC18</f>
        <v/>
      </c>
      <c r="BF18" s="1026">
        <f>$R18-BE18</f>
        <v/>
      </c>
      <c r="BG18" s="508">
        <f>$R18/BE18-1</f>
        <v/>
      </c>
    </row>
    <row r="19">
      <c r="A19" s="550" t="inlineStr">
        <is>
          <t>GLOBAL ENERGY VENTURES (GEV)</t>
        </is>
      </c>
      <c r="B19" s="1235">
        <f>Janvier!B19+Février!B19+Mars!B19+Avril!B19+Mai!B19+Juin!B19+Juillet!B19+Aout!B19+Septembre!B19+Octobre!B19+Novembre!B19+Décembre!B19</f>
        <v/>
      </c>
      <c r="C19" s="1236">
        <f>Janvier!C19+Février!C19+Mars!C19+Avril!C19+Mai!C19+Juin!C19+Juillet!C19+Aout!C19+Septembre!C19+Octobre!C19+Novembre!C19+Décembre!C19</f>
        <v/>
      </c>
      <c r="D19" s="1237">
        <f>Janvier!D19+Février!D19+Mars!D19+Avril!D19+Mai!D19+Juin!D19+Juillet!D19+Aout!D19+Septembre!D19+Octobre!D19+Novembre!D19+Décembre!D19</f>
        <v/>
      </c>
      <c r="E19" s="1238">
        <f>Janvier!E19+Février!E19+Mars!E19+Avril!E19+Mai!E19+Juin!E19+Juillet!E19+Aout!E19+Septembre!E19+Octobre!E19+Novembre!E19+Décembre!E19</f>
        <v/>
      </c>
      <c r="F19" s="1089">
        <f>Janvier!F19+Février!F19+Mars!F19+Avril!F19+Mai!F19+Juin!F19+Juillet!F19+Aout!F19+Septembre!F19+Octobre!F19+Novembre!F19+Décembre!F19</f>
        <v/>
      </c>
      <c r="G19" s="1239">
        <f>Janvier!G19+Février!G19+Mars!G19+Avril!G19+Mai!G19+Juin!G19+Juillet!G19+Aout!G19+Septembre!G19+Octobre!G19+Novembre!G19+Décembre!G19</f>
        <v/>
      </c>
      <c r="H19" s="1239">
        <f>Janvier!H19+Février!H19+Mars!H19+Avril!H19+Mai!H19+Juin!H19+Juillet!H19+Aout!H19+Septembre!H19+Octobre!H19+Novembre!H19+Décembre!H19</f>
        <v/>
      </c>
      <c r="I19" s="1089">
        <f>Janvier!I19+Février!I19+Mars!I19+Avril!I19+Mai!I19+Juin!I19+Juillet!I19+Aout!I19+Septembre!I19+Octobre!I19+Novembre!I19+Décembre!I19</f>
        <v/>
      </c>
      <c r="J19" s="1089">
        <f>Janvier!J19+Février!J19+Mars!J19+Avril!J19+Mai!J19+Juin!J19+Juillet!J19+Aout!J19+Septembre!J19+Octobre!J19+Novembre!J19+Décembre!J19</f>
        <v/>
      </c>
      <c r="K19" s="1097" t="n"/>
      <c r="L19" s="1240">
        <f>SUM(E19:F19,I19:K19)</f>
        <v/>
      </c>
      <c r="M19" s="1222">
        <f>L19+D19</f>
        <v/>
      </c>
      <c r="N19" s="1223">
        <f>M19/655.957</f>
        <v/>
      </c>
      <c r="O19" s="445">
        <f>A19</f>
        <v/>
      </c>
      <c r="P19" s="1224">
        <f>B19</f>
        <v/>
      </c>
      <c r="Q19" s="1224">
        <f>C19</f>
        <v/>
      </c>
      <c r="R19" s="1225">
        <f>D19</f>
        <v/>
      </c>
      <c r="S19" s="1226">
        <f>X19/12*$A$1</f>
        <v/>
      </c>
      <c r="T19" s="1226">
        <f>Y19/12*$A$1</f>
        <v/>
      </c>
      <c r="U19" s="1025" t="n">
        <v>3723000</v>
      </c>
      <c r="V19" s="1026">
        <f>$R19-U19</f>
        <v/>
      </c>
      <c r="W19" s="678">
        <f>R19/U19-1</f>
        <v/>
      </c>
      <c r="X19" s="1227" t="n">
        <v>24680000</v>
      </c>
      <c r="Y19" s="1227" t="n">
        <v>40000000</v>
      </c>
      <c r="Z19" s="1025">
        <f>Y19+X19</f>
        <v/>
      </c>
      <c r="AA19" s="1026">
        <f>R19-Z19</f>
        <v/>
      </c>
      <c r="AB19" s="678">
        <f>R19/Z19-1</f>
        <v/>
      </c>
      <c r="AC19" s="314">
        <f>Z19/$Z$57</f>
        <v/>
      </c>
      <c r="AD19" s="1228" t="n">
        <v>25000000</v>
      </c>
      <c r="AE19" s="1229">
        <f>AF19-AD19</f>
        <v/>
      </c>
      <c r="AF19" s="1025" t="n">
        <v>45000000</v>
      </c>
      <c r="AG19" s="1026">
        <f>R19-AF19</f>
        <v/>
      </c>
      <c r="AH19" s="461">
        <f>R19/AF19-1</f>
        <v/>
      </c>
      <c r="AI19" s="1230" t="n">
        <v>25000000</v>
      </c>
      <c r="AJ19" s="1231">
        <f>AK19-AI19</f>
        <v/>
      </c>
      <c r="AK19" s="1025" t="n">
        <v>40000000</v>
      </c>
      <c r="AL19" s="1026">
        <f>R19-AK19</f>
        <v/>
      </c>
      <c r="AM19" s="459">
        <f>R19/AK19-1</f>
        <v/>
      </c>
      <c r="AN19" s="1232">
        <f>AI19/12*$A$1</f>
        <v/>
      </c>
      <c r="AO19" s="1232">
        <f>AJ19/12*$A$1</f>
        <v/>
      </c>
      <c r="AP19" s="1025">
        <f>AO19+AN19</f>
        <v/>
      </c>
      <c r="AQ19" s="1026">
        <f>R19-AP19</f>
        <v/>
      </c>
      <c r="AR19" s="411">
        <f>R19/AP19-1</f>
        <v/>
      </c>
      <c r="AS19" s="1233">
        <f>5670000*4</f>
        <v/>
      </c>
      <c r="AT19" s="1234" t="n">
        <v>35000000</v>
      </c>
      <c r="AU19" s="1025">
        <f>AT19+AS19</f>
        <v/>
      </c>
      <c r="AV19" s="1026">
        <f>AU19-Z19</f>
        <v/>
      </c>
      <c r="AW19" s="508">
        <f>AU19/Z19-1</f>
        <v/>
      </c>
      <c r="AX19" s="1233">
        <f>BC19/12*$A$1</f>
        <v/>
      </c>
      <c r="AY19" s="1234">
        <f>BD19/12*$A$1</f>
        <v/>
      </c>
      <c r="AZ19" s="1025">
        <f>AY19+AX19</f>
        <v/>
      </c>
      <c r="BA19" s="1026">
        <f>$R19-AZ19</f>
        <v/>
      </c>
      <c r="BB19" s="533">
        <f>$R19/AZ19-1</f>
        <v/>
      </c>
      <c r="BC19" s="1233">
        <f>5670000*4</f>
        <v/>
      </c>
      <c r="BD19" s="1234" t="n">
        <v>80000000</v>
      </c>
      <c r="BE19" s="1025">
        <f>BD19+BC19</f>
        <v/>
      </c>
      <c r="BF19" s="1026">
        <f>$R19-BE19</f>
        <v/>
      </c>
      <c r="BG19" s="533">
        <f>$R19/BE19-1</f>
        <v/>
      </c>
    </row>
    <row r="20">
      <c r="A20" s="550" t="inlineStr">
        <is>
          <t>MI OVERSEAS</t>
        </is>
      </c>
      <c r="B20" s="1235">
        <f>Janvier!B20+Février!B20+Mars!B20+Avril!B20+Mai!B20+Juin!B20+Juillet!B20+Aout!B20+Septembre!B20+Octobre!B20+Novembre!B20+Décembre!B20</f>
        <v/>
      </c>
      <c r="C20" s="1236">
        <f>Janvier!C20+Février!C20+Mars!C20+Avril!C20+Mai!C20+Juin!C20+Juillet!C20+Aout!C20+Septembre!C20+Octobre!C20+Novembre!C20+Décembre!C20</f>
        <v/>
      </c>
      <c r="D20" s="1237">
        <f>Janvier!D20+Février!D20+Mars!D20+Avril!D20+Mai!D20+Juin!D20+Juillet!D20+Aout!D20+Septembre!D20+Octobre!D20+Novembre!D20+Décembre!D20</f>
        <v/>
      </c>
      <c r="E20" s="1238">
        <f>Janvier!E20+Février!E20+Mars!E20+Avril!E20+Mai!E20+Juin!E20+Juillet!E20+Aout!E20+Septembre!E20+Octobre!E20+Novembre!E20+Décembre!E20</f>
        <v/>
      </c>
      <c r="F20" s="1089">
        <f>Janvier!F20+Février!F20+Mars!F20+Avril!F20+Mai!F20+Juin!F20+Juillet!F20+Aout!F20+Septembre!F20+Octobre!F20+Novembre!F20+Décembre!F20</f>
        <v/>
      </c>
      <c r="G20" s="1239">
        <f>Janvier!G20+Février!G20+Mars!G20+Avril!G20+Mai!G20+Juin!G20+Juillet!G20+Aout!G20+Septembre!G20+Octobre!G20+Novembre!G20+Décembre!G20</f>
        <v/>
      </c>
      <c r="H20" s="1239">
        <f>Janvier!H20+Février!H20+Mars!H20+Avril!H20+Mai!H20+Juin!H20+Juillet!H20+Aout!H20+Septembre!H20+Octobre!H20+Novembre!H20+Décembre!H20</f>
        <v/>
      </c>
      <c r="I20" s="1089">
        <f>Janvier!I20+Février!I20+Mars!I20+Avril!I20+Mai!I20+Juin!I20+Juillet!I20+Aout!I20+Septembre!I20+Octobre!I20+Novembre!I20+Décembre!I20</f>
        <v/>
      </c>
      <c r="J20" s="1089">
        <f>Janvier!J20+Février!J20+Mars!J20+Avril!J20+Mai!J20+Juin!J20+Juillet!J20+Aout!J20+Septembre!J20+Octobre!J20+Novembre!J20+Décembre!J20</f>
        <v/>
      </c>
      <c r="K20" s="1097" t="n"/>
      <c r="L20" s="1240">
        <f>SUM(E20:F20,I20:K20)</f>
        <v/>
      </c>
      <c r="M20" s="1222">
        <f>L20+D20</f>
        <v/>
      </c>
      <c r="N20" s="1223">
        <f>M20/655.957</f>
        <v/>
      </c>
      <c r="O20" s="445">
        <f>A20</f>
        <v/>
      </c>
      <c r="P20" s="1224">
        <f>B20</f>
        <v/>
      </c>
      <c r="Q20" s="1224">
        <f>C20</f>
        <v/>
      </c>
      <c r="R20" s="1225">
        <f>D20</f>
        <v/>
      </c>
      <c r="S20" s="1226">
        <f>X20/12*$A$1</f>
        <v/>
      </c>
      <c r="T20" s="1226">
        <f>Y20/12*$A$1</f>
        <v/>
      </c>
      <c r="U20" s="1025" t="n">
        <v>0</v>
      </c>
      <c r="V20" s="1026">
        <f>$R20-U20</f>
        <v/>
      </c>
      <c r="W20" s="678">
        <f>R20/U20-1</f>
        <v/>
      </c>
      <c r="X20" s="1227" t="n"/>
      <c r="Y20" s="1227" t="n"/>
      <c r="Z20" s="1025">
        <f>Y20+X20</f>
        <v/>
      </c>
      <c r="AA20" s="1026">
        <f>R20-Z20</f>
        <v/>
      </c>
      <c r="AB20" s="678">
        <f>R20/Z20-1</f>
        <v/>
      </c>
      <c r="AC20" s="314">
        <f>Z20/$Z$57</f>
        <v/>
      </c>
      <c r="AD20" s="1228" t="n"/>
      <c r="AE20" s="1229">
        <f>AF20-AD20</f>
        <v/>
      </c>
      <c r="AF20" s="1025">
        <f>AC20*4901000000</f>
        <v/>
      </c>
      <c r="AG20" s="1026">
        <f>R20-AF20</f>
        <v/>
      </c>
      <c r="AH20" s="411">
        <f>R20/AF20-1</f>
        <v/>
      </c>
      <c r="AI20" s="1230" t="n"/>
      <c r="AJ20" s="1231">
        <f>AK20-AI20</f>
        <v/>
      </c>
      <c r="AK20" s="1025" t="n">
        <v>0</v>
      </c>
      <c r="AL20" s="1026">
        <f>R20-AK20</f>
        <v/>
      </c>
      <c r="AM20" s="411" t="n">
        <v>0</v>
      </c>
      <c r="AN20" s="1232">
        <f>AI20/12*$A$1</f>
        <v/>
      </c>
      <c r="AO20" s="1232">
        <f>AJ20/12*$A$1</f>
        <v/>
      </c>
      <c r="AP20" s="1025">
        <f>AO20+AN20</f>
        <v/>
      </c>
      <c r="AQ20" s="1026">
        <f>R20-AP20</f>
        <v/>
      </c>
      <c r="AR20" s="411" t="n">
        <v>0</v>
      </c>
      <c r="AS20" s="1233" t="n"/>
      <c r="AT20" s="1234" t="n"/>
      <c r="AU20" s="1025">
        <f>AT20+AS20</f>
        <v/>
      </c>
      <c r="AV20" s="1026">
        <f>AU20-Z20</f>
        <v/>
      </c>
      <c r="AW20" s="508">
        <f>AU20/Z20-1</f>
        <v/>
      </c>
      <c r="AX20" s="1233">
        <f>BC20/12*$A$1</f>
        <v/>
      </c>
      <c r="AY20" s="1234">
        <f>BD20/12*$A$1</f>
        <v/>
      </c>
      <c r="AZ20" s="1025">
        <f>AY20+AX20</f>
        <v/>
      </c>
      <c r="BA20" s="1026">
        <f>$R20-AZ20</f>
        <v/>
      </c>
      <c r="BB20" s="508">
        <f>$R20/AZ20-1</f>
        <v/>
      </c>
      <c r="BC20" s="1233" t="n"/>
      <c r="BD20" s="1234" t="n"/>
      <c r="BE20" s="1025">
        <f>BD20+BC20</f>
        <v/>
      </c>
      <c r="BF20" s="1026">
        <f>$R20-BE20</f>
        <v/>
      </c>
      <c r="BG20" s="508">
        <f>$R20/BE20-1</f>
        <v/>
      </c>
    </row>
    <row r="21">
      <c r="A21" s="550" t="inlineStr">
        <is>
          <t>HALLIBURTON</t>
        </is>
      </c>
      <c r="B21" s="1235">
        <f>Janvier!B21+Février!B21+Mars!B21+Avril!B21+Mai!B21+Juin!B21+Juillet!B21+Aout!B21+Septembre!B21+Octobre!B21+Novembre!B21+Décembre!B21</f>
        <v/>
      </c>
      <c r="C21" s="1236">
        <f>Janvier!C21+Février!C21+Mars!C21+Avril!C21+Mai!C21+Juin!C21+Juillet!C21+Aout!C21+Septembre!C21+Octobre!C21+Novembre!C21+Décembre!C21</f>
        <v/>
      </c>
      <c r="D21" s="1237">
        <f>Janvier!D21+Février!D21+Mars!D21+Avril!D21+Mai!D21+Juin!D21+Juillet!D21+Aout!D21+Septembre!D21+Octobre!D21+Novembre!D21+Décembre!D21</f>
        <v/>
      </c>
      <c r="E21" s="1238">
        <f>Janvier!E21+Février!E21+Mars!E21+Avril!E21+Mai!E21+Juin!E21+Juillet!E21+Aout!E21+Septembre!E21+Octobre!E21+Novembre!E21+Décembre!E21</f>
        <v/>
      </c>
      <c r="F21" s="1089">
        <f>Janvier!F21+Février!F21+Mars!F21+Avril!F21+Mai!F21+Juin!F21+Juillet!F21+Aout!F21+Septembre!F21+Octobre!F21+Novembre!F21+Décembre!F21</f>
        <v/>
      </c>
      <c r="G21" s="1239">
        <f>Janvier!G21+Février!G21+Mars!G21+Avril!G21+Mai!G21+Juin!G21+Juillet!G21+Aout!G21+Septembre!G21+Octobre!G21+Novembre!G21+Décembre!G21</f>
        <v/>
      </c>
      <c r="H21" s="1239">
        <f>Janvier!H21+Février!H21+Mars!H21+Avril!H21+Mai!H21+Juin!H21+Juillet!H21+Aout!H21+Septembre!H21+Octobre!H21+Novembre!H21+Décembre!H21</f>
        <v/>
      </c>
      <c r="I21" s="1089">
        <f>Janvier!I21+Février!I21+Mars!I21+Avril!I21+Mai!I21+Juin!I21+Juillet!I21+Aout!I21+Septembre!I21+Octobre!I21+Novembre!I21+Décembre!I21</f>
        <v/>
      </c>
      <c r="J21" s="1089">
        <f>Janvier!J21+Février!J21+Mars!J21+Avril!J21+Mai!J21+Juin!J21+Juillet!J21+Aout!J21+Septembre!J21+Octobre!J21+Novembre!J21+Décembre!J21</f>
        <v/>
      </c>
      <c r="K21" s="1097" t="n"/>
      <c r="L21" s="1240">
        <f>SUM(E21:F21,I21:K21)</f>
        <v/>
      </c>
      <c r="M21" s="1222">
        <f>L21+D21</f>
        <v/>
      </c>
      <c r="N21" s="1223">
        <f>M21/655.957</f>
        <v/>
      </c>
      <c r="O21" s="445">
        <f>A21</f>
        <v/>
      </c>
      <c r="P21" s="1224">
        <f>B21</f>
        <v/>
      </c>
      <c r="Q21" s="1224">
        <f>C21</f>
        <v/>
      </c>
      <c r="R21" s="1225">
        <f>D21</f>
        <v/>
      </c>
      <c r="S21" s="1226">
        <f>X21/12*$A$1</f>
        <v/>
      </c>
      <c r="T21" s="1226">
        <f>Y21/12*$A$1</f>
        <v/>
      </c>
      <c r="U21" s="1025" t="n">
        <v>7500000</v>
      </c>
      <c r="V21" s="1026">
        <f>$R21-U21</f>
        <v/>
      </c>
      <c r="W21" s="678">
        <f>R21/U21-1</f>
        <v/>
      </c>
      <c r="X21" s="1227" t="n"/>
      <c r="Y21" s="1227" t="n">
        <v>160000000</v>
      </c>
      <c r="Z21" s="1025">
        <f>Y21+X21</f>
        <v/>
      </c>
      <c r="AA21" s="1026">
        <f>R21-Z21</f>
        <v/>
      </c>
      <c r="AB21" s="678">
        <f>R21/Z21-1</f>
        <v/>
      </c>
      <c r="AC21" s="314">
        <f>Z21/$Z$57</f>
        <v/>
      </c>
      <c r="AD21" s="1228" t="n">
        <v>149328000</v>
      </c>
      <c r="AE21" s="1229">
        <f>AF21-AD21</f>
        <v/>
      </c>
      <c r="AF21" s="1025" t="n">
        <v>430700000</v>
      </c>
      <c r="AG21" s="1026">
        <f>R21-AF21</f>
        <v/>
      </c>
      <c r="AH21" s="461">
        <f>R21/AF21-1</f>
        <v/>
      </c>
      <c r="AI21" s="1230" t="n">
        <v>149328000</v>
      </c>
      <c r="AJ21" s="1231">
        <f>AK21-AI21</f>
        <v/>
      </c>
      <c r="AK21" s="1025" t="n">
        <v>479328000</v>
      </c>
      <c r="AL21" s="1026">
        <f>R21-AK21</f>
        <v/>
      </c>
      <c r="AM21" s="459">
        <f>R21/AK21-1</f>
        <v/>
      </c>
      <c r="AN21" s="1232">
        <f>AI21/12*$A$1</f>
        <v/>
      </c>
      <c r="AO21" s="1232">
        <f>AJ21/12*$A$1</f>
        <v/>
      </c>
      <c r="AP21" s="1025">
        <f>AO21+AN21</f>
        <v/>
      </c>
      <c r="AQ21" s="1026">
        <f>R21-AP21</f>
        <v/>
      </c>
      <c r="AR21" s="411">
        <f>R21/AP21-1</f>
        <v/>
      </c>
      <c r="AS21" s="1233">
        <f>37333500*2</f>
        <v/>
      </c>
      <c r="AT21" s="1234">
        <f>96000000*1.2+12000000*9</f>
        <v/>
      </c>
      <c r="AU21" s="1025">
        <f>AT21+AS21</f>
        <v/>
      </c>
      <c r="AV21" s="1026">
        <f>AU21-Z21</f>
        <v/>
      </c>
      <c r="AW21" s="508">
        <f>AU21/Z21-1</f>
        <v/>
      </c>
      <c r="AX21" s="1233">
        <f>BC21/12*$A$1</f>
        <v/>
      </c>
      <c r="AY21" s="1234">
        <f>BD21/12*$A$1</f>
        <v/>
      </c>
      <c r="AZ21" s="1025">
        <f>AY21+AX21</f>
        <v/>
      </c>
      <c r="BA21" s="1026">
        <f>$R21-AZ21</f>
        <v/>
      </c>
      <c r="BB21" s="502">
        <f>$R21/AZ21-1</f>
        <v/>
      </c>
      <c r="BC21" s="1233" t="n">
        <v>49778000</v>
      </c>
      <c r="BD21" s="1234" t="n">
        <v>215000000</v>
      </c>
      <c r="BE21" s="1025">
        <f>BD21+BC21</f>
        <v/>
      </c>
      <c r="BF21" s="1026">
        <f>$R21-BE21</f>
        <v/>
      </c>
      <c r="BG21" s="502">
        <f>$R21/BE21-1</f>
        <v/>
      </c>
    </row>
    <row r="22">
      <c r="A22" s="550" t="inlineStr">
        <is>
          <t>IVOIRE OILFIELD SERVICES (IVOS)</t>
        </is>
      </c>
      <c r="B22" s="1235">
        <f>Janvier!B22+Février!B22+Mars!B22+Avril!B22+Mai!B22+Juin!B22+Juillet!B22+Aout!B22+Septembre!B22+Octobre!B22+Novembre!B22+Décembre!B22</f>
        <v/>
      </c>
      <c r="C22" s="1236">
        <f>Janvier!C22+Février!C22+Mars!C22+Avril!C22+Mai!C22+Juin!C22+Juillet!C22+Aout!C22+Septembre!C22+Octobre!C22+Novembre!C22+Décembre!C22</f>
        <v/>
      </c>
      <c r="D22" s="1237">
        <f>Janvier!D22+Février!D22+Mars!D22+Avril!D22+Mai!D22+Juin!D22+Juillet!D22+Aout!D22+Septembre!D22+Octobre!D22+Novembre!D22+Décembre!D22</f>
        <v/>
      </c>
      <c r="E22" s="1238">
        <f>Janvier!E22+Février!E22+Mars!E22+Avril!E22+Mai!E22+Juin!E22+Juillet!E22+Aout!E22+Septembre!E22+Octobre!E22+Novembre!E22+Décembre!E22</f>
        <v/>
      </c>
      <c r="F22" s="1089">
        <f>Janvier!F22+Février!F22+Mars!F22+Avril!F22+Mai!F22+Juin!F22+Juillet!F22+Aout!F22+Septembre!F22+Octobre!F22+Novembre!F22+Décembre!F22</f>
        <v/>
      </c>
      <c r="G22" s="1239">
        <f>Janvier!G22+Février!G22+Mars!G22+Avril!G22+Mai!G22+Juin!G22+Juillet!G22+Aout!G22+Septembre!G22+Octobre!G22+Novembre!G22+Décembre!G22</f>
        <v/>
      </c>
      <c r="H22" s="1239">
        <f>Janvier!H22+Février!H22+Mars!H22+Avril!H22+Mai!H22+Juin!H22+Juillet!H22+Aout!H22+Septembre!H22+Octobre!H22+Novembre!H22+Décembre!H22</f>
        <v/>
      </c>
      <c r="I22" s="1089">
        <f>Janvier!I22+Février!I22+Mars!I22+Avril!I22+Mai!I22+Juin!I22+Juillet!I22+Aout!I22+Septembre!I22+Octobre!I22+Novembre!I22+Décembre!I22</f>
        <v/>
      </c>
      <c r="J22" s="1089">
        <f>Janvier!J22+Février!J22+Mars!J22+Avril!J22+Mai!J22+Juin!J22+Juillet!J22+Aout!J22+Septembre!J22+Octobre!J22+Novembre!J22+Décembre!J22</f>
        <v/>
      </c>
      <c r="K22" s="1097" t="n"/>
      <c r="L22" s="1240">
        <f>SUM(E22:F22,I22:K22)</f>
        <v/>
      </c>
      <c r="M22" s="1222">
        <f>L22+D22</f>
        <v/>
      </c>
      <c r="N22" s="1223">
        <f>M22/655.957</f>
        <v/>
      </c>
      <c r="O22" s="445">
        <f>A22</f>
        <v/>
      </c>
      <c r="P22" s="1224">
        <f>B22</f>
        <v/>
      </c>
      <c r="Q22" s="1224">
        <f>C22</f>
        <v/>
      </c>
      <c r="R22" s="1225">
        <f>D22</f>
        <v/>
      </c>
      <c r="S22" s="1226">
        <f>X22/12*$A$1</f>
        <v/>
      </c>
      <c r="T22" s="1226">
        <f>Y22/12*$A$1</f>
        <v/>
      </c>
      <c r="U22" s="1025" t="n">
        <v>3500000</v>
      </c>
      <c r="V22" s="1026">
        <f>$R22-U22</f>
        <v/>
      </c>
      <c r="W22" s="678">
        <f>R22/U22-1</f>
        <v/>
      </c>
      <c r="X22" s="1227" t="n"/>
      <c r="Y22" s="1227" t="n"/>
      <c r="Z22" s="1025">
        <f>Y22+X22</f>
        <v/>
      </c>
      <c r="AA22" s="1026">
        <f>R22-Z22</f>
        <v/>
      </c>
      <c r="AB22" s="678">
        <f>R22/Z22-1</f>
        <v/>
      </c>
      <c r="AC22" s="314">
        <f>Z22/$Z$57</f>
        <v/>
      </c>
      <c r="AD22" s="1228" t="n"/>
      <c r="AE22" s="1229">
        <f>AF22-AD22</f>
        <v/>
      </c>
      <c r="AF22" s="1025" t="n">
        <v>35000000</v>
      </c>
      <c r="AG22" s="1026">
        <f>R22-AF22</f>
        <v/>
      </c>
      <c r="AH22" s="411">
        <f>R22/AF22-1</f>
        <v/>
      </c>
      <c r="AI22" s="1230" t="n"/>
      <c r="AJ22" s="1231">
        <f>AK22-AI22</f>
        <v/>
      </c>
      <c r="AK22" s="1025" t="n">
        <v>35000000</v>
      </c>
      <c r="AL22" s="1026">
        <f>R22-AK22</f>
        <v/>
      </c>
      <c r="AM22" s="411">
        <f>R22/AK22-1</f>
        <v/>
      </c>
      <c r="AN22" s="1232">
        <f>AI22/12*$A$1</f>
        <v/>
      </c>
      <c r="AO22" s="1232">
        <f>AJ22/12*$A$1</f>
        <v/>
      </c>
      <c r="AP22" s="1025">
        <f>AO22+AN22</f>
        <v/>
      </c>
      <c r="AQ22" s="1026">
        <f>R22-AP22</f>
        <v/>
      </c>
      <c r="AR22" s="411">
        <f>R22/AP22-1</f>
        <v/>
      </c>
      <c r="AS22" s="1233" t="n"/>
      <c r="AT22" s="1234" t="n"/>
      <c r="AU22" s="1025">
        <f>AT22+AS22</f>
        <v/>
      </c>
      <c r="AV22" s="1026">
        <f>AU22-Z22</f>
        <v/>
      </c>
      <c r="AW22" s="508">
        <f>AU22/Z22-1</f>
        <v/>
      </c>
      <c r="AX22" s="1233">
        <f>BC22/12*$A$1</f>
        <v/>
      </c>
      <c r="AY22" s="1234">
        <f>BD22/12*$A$1</f>
        <v/>
      </c>
      <c r="AZ22" s="1025">
        <f>AY22+AX22</f>
        <v/>
      </c>
      <c r="BA22" s="1026">
        <f>$R22-AZ22</f>
        <v/>
      </c>
      <c r="BB22" s="508">
        <f>$R22/AZ22-1</f>
        <v/>
      </c>
      <c r="BC22" s="1233" t="n"/>
      <c r="BD22" s="1234" t="n"/>
      <c r="BE22" s="1025">
        <f>BD22+BC22</f>
        <v/>
      </c>
      <c r="BF22" s="1026">
        <f>$R22-BE22</f>
        <v/>
      </c>
      <c r="BG22" s="508">
        <f>$R22/BE22-1</f>
        <v/>
      </c>
    </row>
    <row r="23">
      <c r="A23" s="694" t="inlineStr">
        <is>
          <t>INTERNL INDUSTRY PROVIDER 2IP</t>
        </is>
      </c>
      <c r="B23" s="1235">
        <f>Janvier!B23+Février!B23+Mars!B23+Avril!B23+Mai!B23+Juin!B23+Juillet!B23+Aout!B23+Septembre!B23+Octobre!B23+Novembre!B23+Décembre!B23</f>
        <v/>
      </c>
      <c r="C23" s="1236">
        <f>Janvier!C23+Février!C23+Mars!C23+Avril!C23+Mai!C23+Juin!C23+Juillet!C23+Aout!C23+Septembre!C23+Octobre!C23+Novembre!C23+Décembre!C23</f>
        <v/>
      </c>
      <c r="D23" s="1237">
        <f>Janvier!D23+Février!D23+Mars!D23+Avril!D23+Mai!D23+Juin!D23+Juillet!D23+Aout!D23+Septembre!D23+Octobre!D23+Novembre!D23+Décembre!D23</f>
        <v/>
      </c>
      <c r="E23" s="1238">
        <f>Janvier!E23+Février!E23+Mars!E23+Avril!E23+Mai!E23+Juin!E23+Juillet!E23+Aout!E23+Septembre!E23+Octobre!E23+Novembre!E23+Décembre!E23</f>
        <v/>
      </c>
      <c r="F23" s="1089">
        <f>Janvier!F23+Février!F23+Mars!F23+Avril!F23+Mai!F23+Juin!F23+Juillet!F23+Aout!F23+Septembre!F23+Octobre!F23+Novembre!F23+Décembre!F23</f>
        <v/>
      </c>
      <c r="G23" s="1239">
        <f>Janvier!G23+Février!G23+Mars!G23+Avril!G23+Mai!G23+Juin!G23+Juillet!G23+Aout!G23+Septembre!G23+Octobre!G23+Novembre!G23+Décembre!G23</f>
        <v/>
      </c>
      <c r="H23" s="1239">
        <f>Janvier!H23+Février!H23+Mars!H23+Avril!H23+Mai!H23+Juin!H23+Juillet!H23+Aout!H23+Septembre!H23+Octobre!H23+Novembre!H23+Décembre!H23</f>
        <v/>
      </c>
      <c r="I23" s="1089">
        <f>Janvier!I23+Février!I23+Mars!I23+Avril!I23+Mai!I23+Juin!I23+Juillet!I23+Aout!I23+Septembre!I23+Octobre!I23+Novembre!I23+Décembre!I23</f>
        <v/>
      </c>
      <c r="J23" s="1089">
        <f>Janvier!J23+Février!J23+Mars!J23+Avril!J23+Mai!J23+Juin!J23+Juillet!J23+Aout!J23+Septembre!J23+Octobre!J23+Novembre!J23+Décembre!J23</f>
        <v/>
      </c>
      <c r="K23" s="1097" t="n"/>
      <c r="L23" s="1240">
        <f>SUM(E23:F23,I23:K23)</f>
        <v/>
      </c>
      <c r="M23" s="1222">
        <f>L23+D23</f>
        <v/>
      </c>
      <c r="N23" s="1223">
        <f>M23/655.957</f>
        <v/>
      </c>
      <c r="O23" s="445">
        <f>A23</f>
        <v/>
      </c>
      <c r="P23" s="1224">
        <f>B23</f>
        <v/>
      </c>
      <c r="Q23" s="1224">
        <f>C23</f>
        <v/>
      </c>
      <c r="R23" s="1225">
        <f>D23</f>
        <v/>
      </c>
      <c r="S23" s="1226">
        <f>X23/12*$A$1</f>
        <v/>
      </c>
      <c r="T23" s="1226">
        <f>Y23/12*$A$1</f>
        <v/>
      </c>
      <c r="U23" s="1025" t="n">
        <v>0</v>
      </c>
      <c r="V23" s="1026">
        <f>$R23-U23</f>
        <v/>
      </c>
      <c r="W23" s="678">
        <f>R23/U23-1</f>
        <v/>
      </c>
      <c r="X23" s="1227" t="n"/>
      <c r="Y23" s="1227" t="n"/>
      <c r="Z23" s="1025">
        <f>Y23+X23</f>
        <v/>
      </c>
      <c r="AA23" s="1026">
        <f>R23-Z23</f>
        <v/>
      </c>
      <c r="AB23" s="678">
        <f>R23/Z23-1</f>
        <v/>
      </c>
      <c r="AC23" s="314">
        <f>Z23/$Z$57</f>
        <v/>
      </c>
      <c r="AD23" s="1228" t="n"/>
      <c r="AE23" s="1229">
        <f>AF23-AD23</f>
        <v/>
      </c>
      <c r="AF23" s="1025">
        <f>AC23*4901000000</f>
        <v/>
      </c>
      <c r="AG23" s="1026">
        <f>R23-AF23</f>
        <v/>
      </c>
      <c r="AH23" s="411">
        <f>R23/AF23-1</f>
        <v/>
      </c>
      <c r="AI23" s="1230" t="n"/>
      <c r="AJ23" s="1231">
        <f>AK23-AI23</f>
        <v/>
      </c>
      <c r="AK23" s="1025" t="n">
        <v>0</v>
      </c>
      <c r="AL23" s="1026">
        <f>R23-AK23</f>
        <v/>
      </c>
      <c r="AM23" s="411" t="n">
        <v>0</v>
      </c>
      <c r="AN23" s="1232">
        <f>AI23/12*$A$1</f>
        <v/>
      </c>
      <c r="AO23" s="1232">
        <f>AJ23/12*$A$1</f>
        <v/>
      </c>
      <c r="AP23" s="1025">
        <f>AO23+AN23</f>
        <v/>
      </c>
      <c r="AQ23" s="1026">
        <f>R23-AP23</f>
        <v/>
      </c>
      <c r="AR23" s="411" t="n">
        <v>0</v>
      </c>
      <c r="AS23" s="1233" t="n"/>
      <c r="AT23" s="1234" t="n"/>
      <c r="AU23" s="1025">
        <f>AT23+AS23</f>
        <v/>
      </c>
      <c r="AV23" s="1026">
        <f>AU23-Z23</f>
        <v/>
      </c>
      <c r="AW23" s="508">
        <f>AU23/Z23-1</f>
        <v/>
      </c>
      <c r="AX23" s="1233">
        <f>BC23/12*$A$1</f>
        <v/>
      </c>
      <c r="AY23" s="1234">
        <f>BD23/12*$A$1</f>
        <v/>
      </c>
      <c r="AZ23" s="1025">
        <f>AY23+AX23</f>
        <v/>
      </c>
      <c r="BA23" s="1026">
        <f>$R23-AZ23</f>
        <v/>
      </c>
      <c r="BB23" s="508">
        <f>$R23/AZ23-1</f>
        <v/>
      </c>
      <c r="BC23" s="1233" t="n"/>
      <c r="BD23" s="1234" t="n"/>
      <c r="BE23" s="1025">
        <f>BD23+BC23</f>
        <v/>
      </c>
      <c r="BF23" s="1026">
        <f>$R23-BE23</f>
        <v/>
      </c>
      <c r="BG23" s="508">
        <f>$R23/BE23-1</f>
        <v/>
      </c>
    </row>
    <row r="24">
      <c r="A24" s="694" t="inlineStr">
        <is>
          <t>CEVA LOGISTICS UK</t>
        </is>
      </c>
      <c r="B24" s="1235">
        <f>Janvier!B24+Février!B24+Mars!B24+Avril!B24+Mai!B24+Juin!B24+Juillet!B24+Aout!B24+Septembre!B24+Octobre!B24+Novembre!B24+Décembre!B24</f>
        <v/>
      </c>
      <c r="C24" s="1236">
        <f>Janvier!C24+Février!C24+Mars!C24+Avril!C24+Mai!C24+Juin!C24+Juillet!C24+Aout!C24+Septembre!C24+Octobre!C24+Novembre!C24+Décembre!C24</f>
        <v/>
      </c>
      <c r="D24" s="1237">
        <f>Janvier!D24+Février!D24+Mars!D24+Avril!D24+Mai!D24+Juin!D24+Juillet!D24+Aout!D24+Septembre!D24+Octobre!D24+Novembre!D24+Décembre!D24</f>
        <v/>
      </c>
      <c r="E24" s="1238">
        <f>Janvier!E24+Février!E24+Mars!E24+Avril!E24+Mai!E24+Juin!E24+Juillet!E24+Aout!E24+Septembre!E24+Octobre!E24+Novembre!E24+Décembre!E24</f>
        <v/>
      </c>
      <c r="F24" s="1089">
        <f>Janvier!F24+Février!F24+Mars!F24+Avril!F24+Mai!F24+Juin!F24+Juillet!F24+Aout!F24+Septembre!F24+Octobre!F24+Novembre!F24+Décembre!F24</f>
        <v/>
      </c>
      <c r="G24" s="1239">
        <f>Janvier!G24+Février!G24+Mars!G24+Avril!G24+Mai!G24+Juin!G24+Juillet!G24+Aout!G24+Septembre!G24+Octobre!G24+Novembre!G24+Décembre!G24</f>
        <v/>
      </c>
      <c r="H24" s="1239">
        <f>Janvier!H24+Février!H24+Mars!H24+Avril!H24+Mai!H24+Juin!H24+Juillet!H24+Aout!H24+Septembre!H24+Octobre!H24+Novembre!H24+Décembre!H24</f>
        <v/>
      </c>
      <c r="I24" s="1089">
        <f>Janvier!I24+Février!I24+Mars!I24+Avril!I24+Mai!I24+Juin!I24+Juillet!I24+Aout!I24+Septembre!I24+Octobre!I24+Novembre!I24+Décembre!I24</f>
        <v/>
      </c>
      <c r="J24" s="1089">
        <f>Janvier!J24+Février!J24+Mars!J24+Avril!J24+Mai!J24+Juin!J24+Juillet!J24+Aout!J24+Septembre!J24+Octobre!J24+Novembre!J24+Décembre!J24</f>
        <v/>
      </c>
      <c r="K24" s="1097" t="n"/>
      <c r="L24" s="1240">
        <f>SUM(E24:F24,I24:K24)</f>
        <v/>
      </c>
      <c r="M24" s="1222">
        <f>L24+D24</f>
        <v/>
      </c>
      <c r="N24" s="1223">
        <f>M24/655.957</f>
        <v/>
      </c>
      <c r="O24" s="445">
        <f>A24</f>
        <v/>
      </c>
      <c r="P24" s="1224">
        <f>B24</f>
        <v/>
      </c>
      <c r="Q24" s="1224">
        <f>C24</f>
        <v/>
      </c>
      <c r="R24" s="1225">
        <f>D24</f>
        <v/>
      </c>
      <c r="S24" s="1226">
        <f>X24/12*$A$1</f>
        <v/>
      </c>
      <c r="T24" s="1226">
        <f>Y24/12*$A$1</f>
        <v/>
      </c>
      <c r="U24" s="1025" t="n">
        <v>0</v>
      </c>
      <c r="V24" s="1026">
        <f>$R24-U24</f>
        <v/>
      </c>
      <c r="W24" s="678">
        <f>R24/U24-1</f>
        <v/>
      </c>
      <c r="X24" s="1227" t="n"/>
      <c r="Y24" s="1227" t="n"/>
      <c r="Z24" s="1025">
        <f>Y24+X24</f>
        <v/>
      </c>
      <c r="AA24" s="1026">
        <f>R24-Z24</f>
        <v/>
      </c>
      <c r="AB24" s="678">
        <f>R24/Z24-1</f>
        <v/>
      </c>
      <c r="AC24" s="314">
        <f>Z24/$Z$57</f>
        <v/>
      </c>
      <c r="AD24" s="1228" t="n"/>
      <c r="AE24" s="1229">
        <f>AF24-AD24</f>
        <v/>
      </c>
      <c r="AF24" s="1025" t="n">
        <v>23725000</v>
      </c>
      <c r="AG24" s="1026">
        <f>R24-AF24</f>
        <v/>
      </c>
      <c r="AH24" s="411">
        <f>R24/AF24-1</f>
        <v/>
      </c>
      <c r="AI24" s="1230" t="n"/>
      <c r="AJ24" s="1231">
        <f>AK24-AI24</f>
        <v/>
      </c>
      <c r="AK24" s="1025" t="n">
        <v>23725000</v>
      </c>
      <c r="AL24" s="1026">
        <f>R24-AK24</f>
        <v/>
      </c>
      <c r="AM24" s="411">
        <f>R24/AK24-1</f>
        <v/>
      </c>
      <c r="AN24" s="1232">
        <f>AI24/12*$A$1</f>
        <v/>
      </c>
      <c r="AO24" s="1232">
        <f>AJ24/12*$A$1</f>
        <v/>
      </c>
      <c r="AP24" s="1025">
        <f>AO24+AN24</f>
        <v/>
      </c>
      <c r="AQ24" s="1026">
        <f>R24-AP24</f>
        <v/>
      </c>
      <c r="AR24" s="411">
        <f>R24/AP24-1</f>
        <v/>
      </c>
      <c r="AS24" s="1233" t="n"/>
      <c r="AT24" s="1234" t="n"/>
      <c r="AU24" s="1025">
        <f>AT24+AS24</f>
        <v/>
      </c>
      <c r="AV24" s="1026">
        <f>AU24-Z24</f>
        <v/>
      </c>
      <c r="AW24" s="508">
        <f>AU24/Z24-1</f>
        <v/>
      </c>
      <c r="AX24" s="1233">
        <f>BC24/12*$A$1</f>
        <v/>
      </c>
      <c r="AY24" s="1234">
        <f>BD24/12*$A$1</f>
        <v/>
      </c>
      <c r="AZ24" s="1025">
        <f>AY24+AX24</f>
        <v/>
      </c>
      <c r="BA24" s="1026">
        <f>$R24-AZ24</f>
        <v/>
      </c>
      <c r="BB24" s="508">
        <f>$R24/AZ24-1</f>
        <v/>
      </c>
      <c r="BC24" s="1233" t="n"/>
      <c r="BD24" s="1234" t="n"/>
      <c r="BE24" s="1025">
        <f>BD24+BC24</f>
        <v/>
      </c>
      <c r="BF24" s="1026">
        <f>$R24-BE24</f>
        <v/>
      </c>
      <c r="BG24" s="508">
        <f>$R24/BE24-1</f>
        <v/>
      </c>
    </row>
    <row r="25">
      <c r="A25" s="550" t="inlineStr">
        <is>
          <t>MECANOFRED</t>
        </is>
      </c>
      <c r="B25" s="1235">
        <f>Janvier!B25+Février!B25+Mars!B25+Avril!B25+Mai!B25+Juin!B25+Juillet!B25+Aout!B25+Septembre!B25+Octobre!B25+Novembre!B25+Décembre!B25</f>
        <v/>
      </c>
      <c r="C25" s="1236">
        <f>Janvier!C25+Février!C25+Mars!C25+Avril!C25+Mai!C25+Juin!C25+Juillet!C25+Aout!C25+Septembre!C25+Octobre!C25+Novembre!C25+Décembre!C25</f>
        <v/>
      </c>
      <c r="D25" s="1237">
        <f>Janvier!D25+Février!D25+Mars!D25+Avril!D25+Mai!D25+Juin!D25+Juillet!D25+Aout!D25+Septembre!D25+Octobre!D25+Novembre!D25+Décembre!D25</f>
        <v/>
      </c>
      <c r="E25" s="1238">
        <f>Janvier!E25+Février!E25+Mars!E25+Avril!E25+Mai!E25+Juin!E25+Juillet!E25+Aout!E25+Septembre!E25+Octobre!E25+Novembre!E25+Décembre!E25</f>
        <v/>
      </c>
      <c r="F25" s="1089">
        <f>Janvier!F25+Février!F25+Mars!F25+Avril!F25+Mai!F25+Juin!F25+Juillet!F25+Aout!F25+Septembre!F25+Octobre!F25+Novembre!F25+Décembre!F25</f>
        <v/>
      </c>
      <c r="G25" s="1239">
        <f>Janvier!G25+Février!G25+Mars!G25+Avril!G25+Mai!G25+Juin!G25+Juillet!G25+Aout!G25+Septembre!G25+Octobre!G25+Novembre!G25+Décembre!G25</f>
        <v/>
      </c>
      <c r="H25" s="1239">
        <f>Janvier!H25+Février!H25+Mars!H25+Avril!H25+Mai!H25+Juin!H25+Juillet!H25+Aout!H25+Septembre!H25+Octobre!H25+Novembre!H25+Décembre!H25</f>
        <v/>
      </c>
      <c r="I25" s="1089">
        <f>Janvier!I25+Février!I25+Mars!I25+Avril!I25+Mai!I25+Juin!I25+Juillet!I25+Aout!I25+Septembre!I25+Octobre!I25+Novembre!I25+Décembre!I25</f>
        <v/>
      </c>
      <c r="J25" s="1089">
        <f>Janvier!J25+Février!J25+Mars!J25+Avril!J25+Mai!J25+Juin!J25+Juillet!J25+Aout!J25+Septembre!J25+Octobre!J25+Novembre!J25+Décembre!J25</f>
        <v/>
      </c>
      <c r="K25" s="1097" t="n"/>
      <c r="L25" s="1240">
        <f>SUM(E25:F25,I25:K25)</f>
        <v/>
      </c>
      <c r="M25" s="1222">
        <f>L25+D25</f>
        <v/>
      </c>
      <c r="N25" s="1223">
        <f>M25/655.957</f>
        <v/>
      </c>
      <c r="O25" s="445">
        <f>A25</f>
        <v/>
      </c>
      <c r="P25" s="1224">
        <f>B25</f>
        <v/>
      </c>
      <c r="Q25" s="1224">
        <f>C25</f>
        <v/>
      </c>
      <c r="R25" s="1225">
        <f>D25</f>
        <v/>
      </c>
      <c r="S25" s="1226">
        <f>X25/12*$A$1</f>
        <v/>
      </c>
      <c r="T25" s="1226">
        <f>Y25/12*$A$1</f>
        <v/>
      </c>
      <c r="U25" s="1025" t="n">
        <v>0</v>
      </c>
      <c r="V25" s="1026">
        <f>$R25-U25</f>
        <v/>
      </c>
      <c r="W25" s="678">
        <f>R25/U25-1</f>
        <v/>
      </c>
      <c r="X25" s="1227" t="n"/>
      <c r="Y25" s="1227" t="n">
        <v>200000000</v>
      </c>
      <c r="Z25" s="1025">
        <f>Y25+X25</f>
        <v/>
      </c>
      <c r="AA25" s="1026">
        <f>R25-Z25</f>
        <v/>
      </c>
      <c r="AB25" s="678">
        <f>R25/Z25-1</f>
        <v/>
      </c>
      <c r="AC25" s="314">
        <f>Z25/$Z$57</f>
        <v/>
      </c>
      <c r="AD25" s="1228" t="n"/>
      <c r="AE25" s="1229">
        <f>AF25-AD25</f>
        <v/>
      </c>
      <c r="AF25" s="1025" t="n">
        <v>180000000</v>
      </c>
      <c r="AG25" s="1026">
        <f>R25-AF25</f>
        <v/>
      </c>
      <c r="AH25" s="461">
        <f>R25/AF25-1</f>
        <v/>
      </c>
      <c r="AI25" s="1230" t="n"/>
      <c r="AJ25" s="1231">
        <f>AK25-AI25</f>
        <v/>
      </c>
      <c r="AK25" s="1025" t="n">
        <v>185000000</v>
      </c>
      <c r="AL25" s="1026">
        <f>R25-AK25</f>
        <v/>
      </c>
      <c r="AM25" s="459">
        <f>R25/AK25-1</f>
        <v/>
      </c>
      <c r="AN25" s="1232">
        <f>AI25/12*$A$1</f>
        <v/>
      </c>
      <c r="AO25" s="1232">
        <f>AJ25/12*$A$1</f>
        <v/>
      </c>
      <c r="AP25" s="1025">
        <f>AO25+AN25</f>
        <v/>
      </c>
      <c r="AQ25" s="1026">
        <f>R25-AP25</f>
        <v/>
      </c>
      <c r="AR25" s="411">
        <f>R25/AP25-1</f>
        <v/>
      </c>
      <c r="AS25" s="1233" t="n"/>
      <c r="AT25" s="1234" t="n">
        <v>200000000</v>
      </c>
      <c r="AU25" s="1025">
        <f>AT25+AS25</f>
        <v/>
      </c>
      <c r="AV25" s="1026">
        <f>AU25-Z25</f>
        <v/>
      </c>
      <c r="AW25" s="508">
        <f>AU25/Z25-1</f>
        <v/>
      </c>
      <c r="AX25" s="1233">
        <f>BC25/12*$A$1</f>
        <v/>
      </c>
      <c r="AY25" s="1234">
        <f>BD25/12*$A$1</f>
        <v/>
      </c>
      <c r="AZ25" s="1025">
        <f>AY25+AX25</f>
        <v/>
      </c>
      <c r="BA25" s="1026">
        <f>$R25-AZ25</f>
        <v/>
      </c>
      <c r="BB25" s="533">
        <f>$R25/AZ25-1</f>
        <v/>
      </c>
      <c r="BC25" s="1233" t="n"/>
      <c r="BD25" s="1234" t="n">
        <v>270000000</v>
      </c>
      <c r="BE25" s="1025">
        <f>BD25+BC25</f>
        <v/>
      </c>
      <c r="BF25" s="1026">
        <f>$R25-BE25</f>
        <v/>
      </c>
      <c r="BG25" s="533">
        <f>$R25/BE25-1</f>
        <v/>
      </c>
    </row>
    <row r="26">
      <c r="A26" s="550" t="inlineStr">
        <is>
          <t>NOV OIL &amp; GAS SERVICES GHANA</t>
        </is>
      </c>
      <c r="B26" s="1235">
        <f>Janvier!B26+Février!B26+Mars!B26+Avril!B26+Mai!B26+Juin!B26+Juillet!B26+Aout!B26+Septembre!B26+Octobre!B26+Novembre!B26+Décembre!B26</f>
        <v/>
      </c>
      <c r="C26" s="1236">
        <f>Janvier!C26+Février!C26+Mars!C26+Avril!C26+Mai!C26+Juin!C26+Juillet!C26+Aout!C26+Septembre!C26+Octobre!C26+Novembre!C26+Décembre!C26</f>
        <v/>
      </c>
      <c r="D26" s="1237">
        <f>Janvier!D26+Février!D26+Mars!D26+Avril!D26+Mai!D26+Juin!D26+Juillet!D26+Aout!D26+Septembre!D26+Octobre!D26+Novembre!D26+Décembre!D26</f>
        <v/>
      </c>
      <c r="E26" s="1238">
        <f>Janvier!E26+Février!E26+Mars!E26+Avril!E26+Mai!E26+Juin!E26+Juillet!E26+Aout!E26+Septembre!E26+Octobre!E26+Novembre!E26+Décembre!E26</f>
        <v/>
      </c>
      <c r="F26" s="1089">
        <f>Janvier!F26+Février!F26+Mars!F26+Avril!F26+Mai!F26+Juin!F26+Juillet!F26+Aout!F26+Septembre!F26+Octobre!F26+Novembre!F26+Décembre!F26</f>
        <v/>
      </c>
      <c r="G26" s="1239">
        <f>Janvier!G26+Février!G26+Mars!G26+Avril!G26+Mai!G26+Juin!G26+Juillet!G26+Aout!G26+Septembre!G26+Octobre!G26+Novembre!G26+Décembre!G26</f>
        <v/>
      </c>
      <c r="H26" s="1239">
        <f>Janvier!H26+Février!H26+Mars!H26+Avril!H26+Mai!H26+Juin!H26+Juillet!H26+Aout!H26+Septembre!H26+Octobre!H26+Novembre!H26+Décembre!H26</f>
        <v/>
      </c>
      <c r="I26" s="1089">
        <f>Janvier!I26+Février!I26+Mars!I26+Avril!I26+Mai!I26+Juin!I26+Juillet!I26+Aout!I26+Septembre!I26+Octobre!I26+Novembre!I26+Décembre!I26</f>
        <v/>
      </c>
      <c r="J26" s="1089">
        <f>Janvier!J26+Février!J26+Mars!J26+Avril!J26+Mai!J26+Juin!J26+Juillet!J26+Aout!J26+Septembre!J26+Octobre!J26+Novembre!J26+Décembre!J26</f>
        <v/>
      </c>
      <c r="K26" s="1097" t="n"/>
      <c r="L26" s="1240">
        <f>SUM(E26:F26,I26:K26)</f>
        <v/>
      </c>
      <c r="M26" s="1222">
        <f>L26+D26</f>
        <v/>
      </c>
      <c r="N26" s="1223">
        <f>M26/655.957</f>
        <v/>
      </c>
      <c r="O26" s="445">
        <f>A26</f>
        <v/>
      </c>
      <c r="P26" s="1224">
        <f>B26</f>
        <v/>
      </c>
      <c r="Q26" s="1224">
        <f>C26</f>
        <v/>
      </c>
      <c r="R26" s="1225">
        <f>D26</f>
        <v/>
      </c>
      <c r="S26" s="1226">
        <f>X26/12*$A$1</f>
        <v/>
      </c>
      <c r="T26" s="1226">
        <f>Y26/12*$A$1</f>
        <v/>
      </c>
      <c r="U26" s="1025" t="n">
        <v>0</v>
      </c>
      <c r="V26" s="1026">
        <f>$R26-U26</f>
        <v/>
      </c>
      <c r="W26" s="678">
        <f>R26/U26-1</f>
        <v/>
      </c>
      <c r="X26" s="1227" t="n"/>
      <c r="Y26" s="1227" t="n"/>
      <c r="Z26" s="1025">
        <f>Y26+X26</f>
        <v/>
      </c>
      <c r="AA26" s="1026">
        <f>R26-Z26</f>
        <v/>
      </c>
      <c r="AB26" s="678">
        <f>R26/Z26-1</f>
        <v/>
      </c>
      <c r="AC26" s="314">
        <f>Z26/$Z$57</f>
        <v/>
      </c>
      <c r="AD26" s="1228" t="n"/>
      <c r="AE26" s="1229">
        <f>AF26-AD26</f>
        <v/>
      </c>
      <c r="AF26" s="1025">
        <f>AC26*4901000000</f>
        <v/>
      </c>
      <c r="AG26" s="1026">
        <f>R26-AF26</f>
        <v/>
      </c>
      <c r="AH26" s="411">
        <f>R26/AF26-1</f>
        <v/>
      </c>
      <c r="AI26" s="1230" t="n"/>
      <c r="AJ26" s="1231">
        <f>AK26-AI26</f>
        <v/>
      </c>
      <c r="AK26" s="1025" t="n">
        <v>0</v>
      </c>
      <c r="AL26" s="1026">
        <f>R26-AK26</f>
        <v/>
      </c>
      <c r="AM26" s="411" t="n">
        <v>0</v>
      </c>
      <c r="AN26" s="1232">
        <f>AI26/12*$A$1</f>
        <v/>
      </c>
      <c r="AO26" s="1232">
        <f>AJ26/12*$A$1</f>
        <v/>
      </c>
      <c r="AP26" s="1025">
        <f>AO26+AN26</f>
        <v/>
      </c>
      <c r="AQ26" s="1026">
        <f>R26-AP26</f>
        <v/>
      </c>
      <c r="AR26" s="411" t="n">
        <v>0</v>
      </c>
      <c r="AS26" s="1233" t="n"/>
      <c r="AT26" s="1234" t="n"/>
      <c r="AU26" s="1025">
        <f>AT26+AS26</f>
        <v/>
      </c>
      <c r="AV26" s="1026">
        <f>AU26-Z26</f>
        <v/>
      </c>
      <c r="AW26" s="508">
        <f>AU26/Z26-1</f>
        <v/>
      </c>
      <c r="AX26" s="1233">
        <f>BC26/12*$A$1</f>
        <v/>
      </c>
      <c r="AY26" s="1234">
        <f>BD26/12*$A$1</f>
        <v/>
      </c>
      <c r="AZ26" s="1025">
        <f>AY26+AX26</f>
        <v/>
      </c>
      <c r="BA26" s="1026">
        <f>$R26-AZ26</f>
        <v/>
      </c>
      <c r="BB26" s="508">
        <f>$R26/AZ26-1</f>
        <v/>
      </c>
      <c r="BC26" s="1233" t="n"/>
      <c r="BD26" s="1234" t="n"/>
      <c r="BE26" s="1025">
        <f>BD26+BC26</f>
        <v/>
      </c>
      <c r="BF26" s="1026">
        <f>$R26-BE26</f>
        <v/>
      </c>
      <c r="BG26" s="508">
        <f>$R26/BE26-1</f>
        <v/>
      </c>
    </row>
    <row r="27">
      <c r="A27" s="550" t="inlineStr">
        <is>
          <t>SAIPEM Portugal (SPCM)</t>
        </is>
      </c>
      <c r="B27" s="1235">
        <f>Janvier!B27+Février!B27+Mars!B27+Avril!B27+Mai!B27+Juin!B27+Juillet!B27+Aout!B27+Septembre!B27+Octobre!B27+Novembre!B27+Décembre!B27</f>
        <v/>
      </c>
      <c r="C27" s="1236">
        <f>Janvier!C27+Février!C27+Mars!C27+Avril!C27+Mai!C27+Juin!C27+Juillet!C27+Aout!C27+Septembre!C27+Octobre!C27+Novembre!C27+Décembre!C27</f>
        <v/>
      </c>
      <c r="D27" s="1237">
        <f>Janvier!D27+Février!D27+Mars!D27+Avril!D27+Mai!D27+Juin!D27+Juillet!D27+Aout!D27+Septembre!D27+Octobre!D27+Novembre!D27+Décembre!D27</f>
        <v/>
      </c>
      <c r="E27" s="1238">
        <f>Janvier!E27+Février!E27+Mars!E27+Avril!E27+Mai!E27+Juin!E27+Juillet!E27+Aout!E27+Septembre!E27+Octobre!E27+Novembre!E27+Décembre!E27</f>
        <v/>
      </c>
      <c r="F27" s="1089">
        <f>Janvier!F27+Février!F27+Mars!F27+Avril!F27+Mai!F27+Juin!F27+Juillet!F27+Aout!F27+Septembre!F27+Octobre!F27+Novembre!F27+Décembre!F27</f>
        <v/>
      </c>
      <c r="G27" s="1239">
        <f>Janvier!G27+Février!G27+Mars!G27+Avril!G27+Mai!G27+Juin!G27+Juillet!G27+Aout!G27+Septembre!G27+Octobre!G27+Novembre!G27+Décembre!G27</f>
        <v/>
      </c>
      <c r="H27" s="1239">
        <f>Janvier!H27+Février!H27+Mars!H27+Avril!H27+Mai!H27+Juin!H27+Juillet!H27+Aout!H27+Septembre!H27+Octobre!H27+Novembre!H27+Décembre!H27</f>
        <v/>
      </c>
      <c r="I27" s="1089">
        <f>Janvier!I27+Février!I27+Mars!I27+Avril!I27+Mai!I27+Juin!I27+Juillet!I27+Aout!I27+Septembre!I27+Octobre!I27+Novembre!I27+Décembre!I27</f>
        <v/>
      </c>
      <c r="J27" s="1089">
        <f>Janvier!J27+Février!J27+Mars!J27+Avril!J27+Mai!J27+Juin!J27+Juillet!J27+Aout!J27+Septembre!J27+Octobre!J27+Novembre!J27+Décembre!J27</f>
        <v/>
      </c>
      <c r="K27" s="1097" t="n"/>
      <c r="L27" s="1240">
        <f>SUM(E27:F27,I27:K27)</f>
        <v/>
      </c>
      <c r="M27" s="1222">
        <f>L27+D27</f>
        <v/>
      </c>
      <c r="N27" s="1223">
        <f>M27/655.957</f>
        <v/>
      </c>
      <c r="O27" s="445">
        <f>A27</f>
        <v/>
      </c>
      <c r="P27" s="1224">
        <f>B27</f>
        <v/>
      </c>
      <c r="Q27" s="1224">
        <f>C27</f>
        <v/>
      </c>
      <c r="R27" s="1225">
        <f>D27</f>
        <v/>
      </c>
      <c r="S27" s="1226">
        <f>X27/12*$A$1</f>
        <v/>
      </c>
      <c r="T27" s="1226">
        <f>Y27/12*$A$1</f>
        <v/>
      </c>
      <c r="U27" s="1025" t="n">
        <v>0</v>
      </c>
      <c r="V27" s="1026">
        <f>$R27-U27</f>
        <v/>
      </c>
      <c r="W27" s="678">
        <f>R27/U27-1</f>
        <v/>
      </c>
      <c r="X27" s="1227" t="n"/>
      <c r="Y27" s="1227" t="n">
        <v>0</v>
      </c>
      <c r="Z27" s="1241">
        <f>Y27+X27</f>
        <v/>
      </c>
      <c r="AA27" s="1026">
        <f>R27-Z27</f>
        <v/>
      </c>
      <c r="AB27" s="678">
        <f>R27/Z27-1</f>
        <v/>
      </c>
      <c r="AC27" s="314">
        <f>Z27/$Z$57</f>
        <v/>
      </c>
      <c r="AD27" s="1228" t="n">
        <v>14600000</v>
      </c>
      <c r="AE27" s="1229">
        <f>AF27-AD27</f>
        <v/>
      </c>
      <c r="AF27" s="1241" t="n">
        <v>25000000</v>
      </c>
      <c r="AG27" s="1026">
        <f>R27-AF27</f>
        <v/>
      </c>
      <c r="AH27" s="411">
        <f>R27/AF27-1</f>
        <v/>
      </c>
      <c r="AI27" s="1230" t="n">
        <v>14600000</v>
      </c>
      <c r="AJ27" s="1231">
        <f>AK27-AI27</f>
        <v/>
      </c>
      <c r="AK27" s="1241" t="n">
        <v>30000000</v>
      </c>
      <c r="AL27" s="1026">
        <f>R27-AK27</f>
        <v/>
      </c>
      <c r="AM27" s="411">
        <f>R27/AK27-1</f>
        <v/>
      </c>
      <c r="AN27" s="1232">
        <f>AI27/12*$A$1</f>
        <v/>
      </c>
      <c r="AO27" s="1232">
        <f>AJ27/12*$A$1</f>
        <v/>
      </c>
      <c r="AP27" s="1025">
        <f>AO27+AN27</f>
        <v/>
      </c>
      <c r="AQ27" s="1026">
        <f>R27-AP27</f>
        <v/>
      </c>
      <c r="AR27" s="411">
        <f>R27/AP27-1</f>
        <v/>
      </c>
      <c r="AS27" s="1233" t="n"/>
      <c r="AT27" s="1234" t="n">
        <v>4000000</v>
      </c>
      <c r="AU27" s="1241">
        <f>AT27+AS27</f>
        <v/>
      </c>
      <c r="AV27" s="1026">
        <f>AU27-Z27</f>
        <v/>
      </c>
      <c r="AW27" s="508">
        <f>AU27/Z27-1</f>
        <v/>
      </c>
      <c r="AX27" s="1233">
        <f>BC27/12*$A$1</f>
        <v/>
      </c>
      <c r="AY27" s="1234">
        <f>BD27/12*$A$1</f>
        <v/>
      </c>
      <c r="AZ27" s="1241">
        <f>AY27+AX27</f>
        <v/>
      </c>
      <c r="BA27" s="1026">
        <f>$R27-AZ27</f>
        <v/>
      </c>
      <c r="BB27" s="533">
        <f>$R27/AZ27-1</f>
        <v/>
      </c>
      <c r="BC27" s="1233" t="n"/>
      <c r="BD27" s="1234" t="n">
        <v>20000000</v>
      </c>
      <c r="BE27" s="1241">
        <f>BD27+BC27</f>
        <v/>
      </c>
      <c r="BF27" s="1026">
        <f>$R27-BE27</f>
        <v/>
      </c>
      <c r="BG27" s="533">
        <f>$R27/BE27-1</f>
        <v/>
      </c>
    </row>
    <row r="28">
      <c r="A28" s="550" t="inlineStr">
        <is>
          <t>OMNI ENERGY</t>
        </is>
      </c>
      <c r="B28" s="1235">
        <f>Janvier!B28+Février!B28+Mars!B28+Avril!B28+Mai!B28+Juin!B28+Juillet!B28+Aout!B28+Septembre!B28+Octobre!B28+Novembre!B28+Décembre!B28</f>
        <v/>
      </c>
      <c r="C28" s="1236">
        <f>Janvier!C28+Février!C28+Mars!C28+Avril!C28+Mai!C28+Juin!C28+Juillet!C28+Aout!C28+Septembre!C28+Octobre!C28+Novembre!C28+Décembre!C28</f>
        <v/>
      </c>
      <c r="D28" s="1237">
        <f>Janvier!D28+Février!D28+Mars!D28+Avril!D28+Mai!D28+Juin!D28+Juillet!D28+Aout!D28+Septembre!D28+Octobre!D28+Novembre!D28+Décembre!D28</f>
        <v/>
      </c>
      <c r="E28" s="1238">
        <f>Janvier!E28+Février!E28+Mars!E28+Avril!E28+Mai!E28+Juin!E28+Juillet!E28+Aout!E28+Septembre!E28+Octobre!E28+Novembre!E28+Décembre!E28</f>
        <v/>
      </c>
      <c r="F28" s="1089">
        <f>Janvier!F28+Février!F28+Mars!F28+Avril!F28+Mai!F28+Juin!F28+Juillet!F28+Aout!F28+Septembre!F28+Octobre!F28+Novembre!F28+Décembre!F28</f>
        <v/>
      </c>
      <c r="G28" s="1239">
        <f>Janvier!G28+Février!G28+Mars!G28+Avril!G28+Mai!G28+Juin!G28+Juillet!G28+Aout!G28+Septembre!G28+Octobre!G28+Novembre!G28+Décembre!G28</f>
        <v/>
      </c>
      <c r="H28" s="1239">
        <f>Janvier!H28+Février!H28+Mars!H28+Avril!H28+Mai!H28+Juin!H28+Juillet!H28+Aout!H28+Septembre!H28+Octobre!H28+Novembre!H28+Décembre!H28</f>
        <v/>
      </c>
      <c r="I28" s="1089">
        <f>Janvier!I28+Février!I28+Mars!I28+Avril!I28+Mai!I28+Juin!I28+Juillet!I28+Aout!I28+Septembre!I28+Octobre!I28+Novembre!I28+Décembre!I28</f>
        <v/>
      </c>
      <c r="J28" s="1089">
        <f>Janvier!J28+Février!J28+Mars!J28+Avril!J28+Mai!J28+Juin!J28+Juillet!J28+Aout!J28+Septembre!J28+Octobre!J28+Novembre!J28+Décembre!J28</f>
        <v/>
      </c>
      <c r="K28" s="1097" t="n"/>
      <c r="L28" s="1240">
        <f>SUM(E28:F28,I28:K28)</f>
        <v/>
      </c>
      <c r="M28" s="1222">
        <f>L28+D28</f>
        <v/>
      </c>
      <c r="N28" s="1223">
        <f>M28/655.957</f>
        <v/>
      </c>
      <c r="O28" s="445">
        <f>A28</f>
        <v/>
      </c>
      <c r="P28" s="1224">
        <f>B28</f>
        <v/>
      </c>
      <c r="Q28" s="1224">
        <f>C28</f>
        <v/>
      </c>
      <c r="R28" s="1225">
        <f>D28</f>
        <v/>
      </c>
      <c r="S28" s="1226">
        <f>X28/12*$A$1</f>
        <v/>
      </c>
      <c r="T28" s="1226">
        <f>Y28/12*$A$1</f>
        <v/>
      </c>
      <c r="U28" s="1025" t="n">
        <v>300000</v>
      </c>
      <c r="V28" s="1026">
        <f>$R28-U28</f>
        <v/>
      </c>
      <c r="W28" s="678">
        <f>R28/U28-1</f>
        <v/>
      </c>
      <c r="X28" s="1227" t="n"/>
      <c r="Y28" s="1227" t="n"/>
      <c r="Z28" s="1025">
        <f>Y28+X28</f>
        <v/>
      </c>
      <c r="AA28" s="1026">
        <f>R28-Z28</f>
        <v/>
      </c>
      <c r="AB28" s="678">
        <f>R28/Z28-1</f>
        <v/>
      </c>
      <c r="AC28" s="314">
        <f>Z28/$Z$57</f>
        <v/>
      </c>
      <c r="AD28" s="1228" t="n">
        <v>17150000</v>
      </c>
      <c r="AE28" s="1229">
        <f>AF28-AD28</f>
        <v/>
      </c>
      <c r="AF28" s="1025" t="n">
        <v>270000000</v>
      </c>
      <c r="AG28" s="1026">
        <f>R28-AF28</f>
        <v/>
      </c>
      <c r="AH28" s="411">
        <f>R28/AF28-1</f>
        <v/>
      </c>
      <c r="AI28" s="1230" t="n">
        <v>17150000</v>
      </c>
      <c r="AJ28" s="1231">
        <f>AK28-AI28</f>
        <v/>
      </c>
      <c r="AK28" s="1025" t="n">
        <v>312150000</v>
      </c>
      <c r="AL28" s="1026">
        <f>R28-AK28</f>
        <v/>
      </c>
      <c r="AM28" s="457">
        <f>R28/AK28-1</f>
        <v/>
      </c>
      <c r="AN28" s="1232">
        <f>AI28/12*$A$1</f>
        <v/>
      </c>
      <c r="AO28" s="1232">
        <f>AJ28/12*$A$1</f>
        <v/>
      </c>
      <c r="AP28" s="1025">
        <f>AO28+AN28</f>
        <v/>
      </c>
      <c r="AQ28" s="1026">
        <f>R28-AP28</f>
        <v/>
      </c>
      <c r="AR28" s="461">
        <f>R28/AP28-1</f>
        <v/>
      </c>
      <c r="AS28" s="1233" t="n"/>
      <c r="AT28" s="1234" t="n"/>
      <c r="AU28" s="1025">
        <f>AT28+AS28</f>
        <v/>
      </c>
      <c r="AV28" s="1026">
        <f>AU28-Z28</f>
        <v/>
      </c>
      <c r="AW28" s="508">
        <f>AU28/Z28-1</f>
        <v/>
      </c>
      <c r="AX28" s="1233">
        <f>BC28/12*$A$1</f>
        <v/>
      </c>
      <c r="AY28" s="1234">
        <f>BD28/12*$A$1</f>
        <v/>
      </c>
      <c r="AZ28" s="1025">
        <f>AY28+AX28</f>
        <v/>
      </c>
      <c r="BA28" s="1026">
        <f>$R28-AZ28</f>
        <v/>
      </c>
      <c r="BB28" s="508">
        <f>$R28/AZ28-1</f>
        <v/>
      </c>
      <c r="BC28" s="1233" t="n"/>
      <c r="BD28" s="1234" t="n"/>
      <c r="BE28" s="1025">
        <f>BD28+BC28</f>
        <v/>
      </c>
      <c r="BF28" s="1026">
        <f>$R28-BE28</f>
        <v/>
      </c>
      <c r="BG28" s="508">
        <f>$R28/BE28-1</f>
        <v/>
      </c>
    </row>
    <row r="29">
      <c r="A29" s="550" t="inlineStr">
        <is>
          <t>SERVIZI ENERGIA ITALIA - SEI</t>
        </is>
      </c>
      <c r="B29" s="1235">
        <f>Janvier!B29+Février!B29+Mars!B29+Avril!B29+Mai!B29+Juin!B29+Juillet!B29+Aout!B29+Septembre!B29+Octobre!B29+Novembre!B29+Décembre!B29</f>
        <v/>
      </c>
      <c r="C29" s="1236">
        <f>Janvier!C29+Février!C29+Mars!C29+Avril!C29+Mai!C29+Juin!C29+Juillet!C29+Aout!C29+Septembre!C29+Octobre!C29+Novembre!C29+Décembre!C29</f>
        <v/>
      </c>
      <c r="D29" s="1237">
        <f>Janvier!D29+Février!D29+Mars!D29+Avril!D29+Mai!D29+Juin!D29+Juillet!D29+Aout!D29+Septembre!D29+Octobre!D29+Novembre!D29+Décembre!D29</f>
        <v/>
      </c>
      <c r="E29" s="1238">
        <f>Janvier!E29+Février!E29+Mars!E29+Avril!E29+Mai!E29+Juin!E29+Juillet!E29+Aout!E29+Septembre!E29+Octobre!E29+Novembre!E29+Décembre!E29</f>
        <v/>
      </c>
      <c r="F29" s="1089">
        <f>Janvier!F29+Février!F29+Mars!F29+Avril!F29+Mai!F29+Juin!F29+Juillet!F29+Aout!F29+Septembre!F29+Octobre!F29+Novembre!F29+Décembre!F29</f>
        <v/>
      </c>
      <c r="G29" s="1239">
        <f>Janvier!G29+Février!G29+Mars!G29+Avril!G29+Mai!G29+Juin!G29+Juillet!G29+Aout!G29+Septembre!G29+Octobre!G29+Novembre!G29+Décembre!G29</f>
        <v/>
      </c>
      <c r="H29" s="1239">
        <f>Janvier!H29+Février!H29+Mars!H29+Avril!H29+Mai!H29+Juin!H29+Juillet!H29+Aout!H29+Septembre!H29+Octobre!H29+Novembre!H29+Décembre!H29</f>
        <v/>
      </c>
      <c r="I29" s="1089">
        <f>Janvier!I29+Février!I29+Mars!I29+Avril!I29+Mai!I29+Juin!I29+Juillet!I29+Aout!I29+Septembre!I29+Octobre!I29+Novembre!I29+Décembre!I29</f>
        <v/>
      </c>
      <c r="J29" s="1089">
        <f>Janvier!J29+Février!J29+Mars!J29+Avril!J29+Mai!J29+Juin!J29+Juillet!J29+Aout!J29+Septembre!J29+Octobre!J29+Novembre!J29+Décembre!J29</f>
        <v/>
      </c>
      <c r="K29" s="1097" t="n"/>
      <c r="L29" s="1240">
        <f>SUM(E29:F29,I29:K29)</f>
        <v/>
      </c>
      <c r="M29" s="1222">
        <f>L29+D29</f>
        <v/>
      </c>
      <c r="N29" s="1223">
        <f>M29/655.957</f>
        <v/>
      </c>
      <c r="O29" s="445">
        <f>A29</f>
        <v/>
      </c>
      <c r="P29" s="1224">
        <f>B29</f>
        <v/>
      </c>
      <c r="Q29" s="1224">
        <f>C29</f>
        <v/>
      </c>
      <c r="R29" s="1225">
        <f>D29</f>
        <v/>
      </c>
      <c r="S29" s="1226">
        <f>X29/12*$A$1</f>
        <v/>
      </c>
      <c r="T29" s="1226">
        <f>Y29/12*$A$1</f>
        <v/>
      </c>
      <c r="U29" s="1025" t="n">
        <v>0</v>
      </c>
      <c r="V29" s="1026">
        <f>$R29-U29</f>
        <v/>
      </c>
      <c r="W29" s="678">
        <f>R29/U29-1</f>
        <v/>
      </c>
      <c r="X29" s="1227" t="n"/>
      <c r="Y29" s="1227" t="n"/>
      <c r="Z29" s="1025">
        <f>Y29+X29</f>
        <v/>
      </c>
      <c r="AA29" s="1026">
        <f>R29-Z29</f>
        <v/>
      </c>
      <c r="AB29" s="678">
        <f>R29/Z29-1</f>
        <v/>
      </c>
      <c r="AC29" s="314">
        <f>Z29/$Z$57</f>
        <v/>
      </c>
      <c r="AD29" s="1228" t="n"/>
      <c r="AE29" s="1229">
        <f>AF29-AD29</f>
        <v/>
      </c>
      <c r="AF29" s="1025" t="n">
        <v>500000</v>
      </c>
      <c r="AG29" s="1026">
        <f>R29-AF29</f>
        <v/>
      </c>
      <c r="AH29" s="411">
        <f>R29/AF29-1</f>
        <v/>
      </c>
      <c r="AI29" s="1230" t="n"/>
      <c r="AJ29" s="1231">
        <f>AK29-AI29</f>
        <v/>
      </c>
      <c r="AK29" s="1025" t="n">
        <v>500000</v>
      </c>
      <c r="AL29" s="1026">
        <f>R29-AK29</f>
        <v/>
      </c>
      <c r="AM29" s="411">
        <f>R29/AK29-1</f>
        <v/>
      </c>
      <c r="AN29" s="1232">
        <f>AI29/12*$A$1</f>
        <v/>
      </c>
      <c r="AO29" s="1232">
        <f>AJ29/12*$A$1</f>
        <v/>
      </c>
      <c r="AP29" s="1025">
        <f>AO29+AN29</f>
        <v/>
      </c>
      <c r="AQ29" s="1026">
        <f>R29-AP29</f>
        <v/>
      </c>
      <c r="AR29" s="411">
        <f>R29/AP29-1</f>
        <v/>
      </c>
      <c r="AS29" s="1233" t="n"/>
      <c r="AT29" s="1234" t="n"/>
      <c r="AU29" s="1025">
        <f>AT29+AS29</f>
        <v/>
      </c>
      <c r="AV29" s="1026">
        <f>AU29-Z29</f>
        <v/>
      </c>
      <c r="AW29" s="508">
        <f>AU29/Z29-1</f>
        <v/>
      </c>
      <c r="AX29" s="1233">
        <f>BC29/12*$A$1</f>
        <v/>
      </c>
      <c r="AY29" s="1234">
        <f>BD29/12*$A$1</f>
        <v/>
      </c>
      <c r="AZ29" s="1025">
        <f>AY29+AX29</f>
        <v/>
      </c>
      <c r="BA29" s="1026">
        <f>$R29-AZ29</f>
        <v/>
      </c>
      <c r="BB29" s="508">
        <f>$R29/AZ29-1</f>
        <v/>
      </c>
      <c r="BC29" s="1233" t="n"/>
      <c r="BD29" s="1234" t="n"/>
      <c r="BE29" s="1025">
        <f>BD29+BC29</f>
        <v/>
      </c>
      <c r="BF29" s="1026">
        <f>$R29-BE29</f>
        <v/>
      </c>
      <c r="BG29" s="508">
        <f>$R29/BE29-1</f>
        <v/>
      </c>
    </row>
    <row r="30">
      <c r="A30" s="550" t="inlineStr">
        <is>
          <t>PETROFAC</t>
        </is>
      </c>
      <c r="B30" s="1235">
        <f>Janvier!B30+Février!B30+Mars!B30+Avril!B30+Mai!B30+Juin!B30+Juillet!B30+Aout!B30+Septembre!B30+Octobre!B30+Novembre!B30+Décembre!B30</f>
        <v/>
      </c>
      <c r="C30" s="1236">
        <f>Janvier!C30+Février!C30+Mars!C30+Avril!C30+Mai!C30+Juin!C30+Juillet!C30+Aout!C30+Septembre!C30+Octobre!C30+Novembre!C30+Décembre!C30</f>
        <v/>
      </c>
      <c r="D30" s="1237">
        <f>Janvier!D30+Février!D30+Mars!D30+Avril!D30+Mai!D30+Juin!D30+Juillet!D30+Aout!D30+Septembre!D30+Octobre!D30+Novembre!D30+Décembre!D30</f>
        <v/>
      </c>
      <c r="E30" s="1238">
        <f>Janvier!E30+Février!E30+Mars!E30+Avril!E30+Mai!E30+Juin!E30+Juillet!E30+Aout!E30+Septembre!E30+Octobre!E30+Novembre!E30+Décembre!E30</f>
        <v/>
      </c>
      <c r="F30" s="1089">
        <f>Janvier!F30+Février!F30+Mars!F30+Avril!F30+Mai!F30+Juin!F30+Juillet!F30+Aout!F30+Septembre!F30+Octobre!F30+Novembre!F30+Décembre!F30</f>
        <v/>
      </c>
      <c r="G30" s="1239">
        <f>Janvier!G30+Février!G30+Mars!G30+Avril!G30+Mai!G30+Juin!G30+Juillet!G30+Aout!G30+Septembre!G30+Octobre!G30+Novembre!G30+Décembre!G30</f>
        <v/>
      </c>
      <c r="H30" s="1239">
        <f>Janvier!H30+Février!H30+Mars!H30+Avril!H30+Mai!H30+Juin!H30+Juillet!H30+Aout!H30+Septembre!H30+Octobre!H30+Novembre!H30+Décembre!H30</f>
        <v/>
      </c>
      <c r="I30" s="1089">
        <f>Janvier!I30+Février!I30+Mars!I30+Avril!I30+Mai!I30+Juin!I30+Juillet!I30+Aout!I30+Septembre!I30+Octobre!I30+Novembre!I30+Décembre!I30</f>
        <v/>
      </c>
      <c r="J30" s="1089">
        <f>Janvier!J30+Février!J30+Mars!J30+Avril!J30+Mai!J30+Juin!J30+Juillet!J30+Aout!J30+Septembre!J30+Octobre!J30+Novembre!J30+Décembre!J30</f>
        <v/>
      </c>
      <c r="K30" s="1097" t="n"/>
      <c r="L30" s="1240">
        <f>SUM(E30:F30,I30:K30)</f>
        <v/>
      </c>
      <c r="M30" s="1222">
        <f>L30+D30</f>
        <v/>
      </c>
      <c r="N30" s="1223">
        <f>M30/655.957</f>
        <v/>
      </c>
      <c r="O30" s="445">
        <f>A30</f>
        <v/>
      </c>
      <c r="P30" s="1224">
        <f>B30</f>
        <v/>
      </c>
      <c r="Q30" s="1224">
        <f>C30</f>
        <v/>
      </c>
      <c r="R30" s="1225">
        <f>D30</f>
        <v/>
      </c>
      <c r="S30" s="1226">
        <f>X30/12*$A$1</f>
        <v/>
      </c>
      <c r="T30" s="1226">
        <f>Y30/12*$A$1</f>
        <v/>
      </c>
      <c r="U30" s="1025" t="n">
        <v>0</v>
      </c>
      <c r="V30" s="1026">
        <f>$R30-U30</f>
        <v/>
      </c>
      <c r="W30" s="678">
        <f>R30/U30-1</f>
        <v/>
      </c>
      <c r="X30" s="1227" t="n"/>
      <c r="Y30" s="1227" t="n">
        <v>50000000</v>
      </c>
      <c r="Z30" s="1025">
        <f>Y30+X30</f>
        <v/>
      </c>
      <c r="AA30" s="1026">
        <f>R30-Z30</f>
        <v/>
      </c>
      <c r="AB30" s="678">
        <f>R30/Z30-1</f>
        <v/>
      </c>
      <c r="AC30" s="314">
        <f>Z30/$Z$57</f>
        <v/>
      </c>
      <c r="AD30" s="1228" t="n"/>
      <c r="AE30" s="1229">
        <f>AF30-AD30</f>
        <v/>
      </c>
      <c r="AF30" s="1025" t="n">
        <v>215000</v>
      </c>
      <c r="AG30" s="1026">
        <f>R30-AF30</f>
        <v/>
      </c>
      <c r="AH30" s="411">
        <f>R30/AF30-1</f>
        <v/>
      </c>
      <c r="AI30" s="1230" t="n"/>
      <c r="AJ30" s="1231">
        <f>AK30-AI30</f>
        <v/>
      </c>
      <c r="AK30" s="1025" t="n">
        <v>215000</v>
      </c>
      <c r="AL30" s="1026">
        <f>R30-AK30</f>
        <v/>
      </c>
      <c r="AM30" s="411">
        <f>R30/AK30-1</f>
        <v/>
      </c>
      <c r="AN30" s="1232">
        <f>AI30/12*$A$1</f>
        <v/>
      </c>
      <c r="AO30" s="1232">
        <f>AJ30/12*$A$1</f>
        <v/>
      </c>
      <c r="AP30" s="1025">
        <f>AO30+AN30</f>
        <v/>
      </c>
      <c r="AQ30" s="1026">
        <f>R30-AP30</f>
        <v/>
      </c>
      <c r="AR30" s="411">
        <f>R30/AP30-1</f>
        <v/>
      </c>
      <c r="AS30" s="1233" t="n"/>
      <c r="AT30" s="1234" t="n">
        <v>500000</v>
      </c>
      <c r="AU30" s="1025">
        <f>AT30+AS30</f>
        <v/>
      </c>
      <c r="AV30" s="1026">
        <f>AU30-Z30</f>
        <v/>
      </c>
      <c r="AW30" s="508">
        <f>AU30/Z30-1</f>
        <v/>
      </c>
      <c r="AX30" s="1233">
        <f>BC30/12*$A$1</f>
        <v/>
      </c>
      <c r="AY30" s="1234">
        <f>BD30/12*$A$1</f>
        <v/>
      </c>
      <c r="AZ30" s="1025">
        <f>AY30+AX30</f>
        <v/>
      </c>
      <c r="BA30" s="1026">
        <f>$R30-AZ30</f>
        <v/>
      </c>
      <c r="BB30" s="533">
        <f>$R30/AZ30-1</f>
        <v/>
      </c>
      <c r="BC30" s="1233" t="n"/>
      <c r="BD30" s="1234" t="n">
        <v>15000000</v>
      </c>
      <c r="BE30" s="1025">
        <f>BD30+BC30</f>
        <v/>
      </c>
      <c r="BF30" s="1026">
        <f>$R30-BE30</f>
        <v/>
      </c>
      <c r="BG30" s="533">
        <f>$R30/BE30-1</f>
        <v/>
      </c>
    </row>
    <row r="31">
      <c r="A31" s="550" t="inlineStr">
        <is>
          <t>CAPEWEST LOGISTICS</t>
        </is>
      </c>
      <c r="B31" s="1235">
        <f>Janvier!B31+Février!B31+Mars!B31+Avril!B31+Mai!B31+Juin!B31+Juillet!B31+Aout!B31+Septembre!B31+Octobre!B31+Novembre!B31+Décembre!B31</f>
        <v/>
      </c>
      <c r="C31" s="1236">
        <f>Janvier!C31+Février!C31+Mars!C31+Avril!C31+Mai!C31+Juin!C31+Juillet!C31+Aout!C31+Septembre!C31+Octobre!C31+Novembre!C31+Décembre!C31</f>
        <v/>
      </c>
      <c r="D31" s="1237">
        <f>Janvier!D31+Février!D31+Mars!D31+Avril!D31+Mai!D31+Juin!D31+Juillet!D31+Aout!D31+Septembre!D31+Octobre!D31+Novembre!D31+Décembre!D31</f>
        <v/>
      </c>
      <c r="E31" s="1238">
        <f>Janvier!E31+Février!E31+Mars!E31+Avril!E31+Mai!E31+Juin!E31+Juillet!E31+Aout!E31+Septembre!E31+Octobre!E31+Novembre!E31+Décembre!E31</f>
        <v/>
      </c>
      <c r="F31" s="1089">
        <f>Janvier!F31+Février!F31+Mars!F31+Avril!F31+Mai!F31+Juin!F31+Juillet!F31+Aout!F31+Septembre!F31+Octobre!F31+Novembre!F31+Décembre!F31</f>
        <v/>
      </c>
      <c r="G31" s="1239">
        <f>Janvier!G31+Février!G31+Mars!G31+Avril!G31+Mai!G31+Juin!G31+Juillet!G31+Aout!G31+Septembre!G31+Octobre!G31+Novembre!G31+Décembre!G31</f>
        <v/>
      </c>
      <c r="H31" s="1239">
        <f>Janvier!H31+Février!H31+Mars!H31+Avril!H31+Mai!H31+Juin!H31+Juillet!H31+Aout!H31+Septembre!H31+Octobre!H31+Novembre!H31+Décembre!H31</f>
        <v/>
      </c>
      <c r="I31" s="1089">
        <f>Janvier!I31+Février!I31+Mars!I31+Avril!I31+Mai!I31+Juin!I31+Juillet!I31+Aout!I31+Septembre!I31+Octobre!I31+Novembre!I31+Décembre!I31</f>
        <v/>
      </c>
      <c r="J31" s="1089">
        <f>Janvier!J31+Février!J31+Mars!J31+Avril!J31+Mai!J31+Juin!J31+Juillet!J31+Aout!J31+Septembre!J31+Octobre!J31+Novembre!J31+Décembre!J31</f>
        <v/>
      </c>
      <c r="K31" s="1097" t="n"/>
      <c r="L31" s="1240">
        <f>SUM(E31:F31,I31:K31)</f>
        <v/>
      </c>
      <c r="M31" s="1222">
        <f>L31+D31</f>
        <v/>
      </c>
      <c r="N31" s="1223">
        <f>M31/655.957</f>
        <v/>
      </c>
      <c r="O31" s="445">
        <f>A31</f>
        <v/>
      </c>
      <c r="P31" s="1224">
        <f>B31</f>
        <v/>
      </c>
      <c r="Q31" s="1224">
        <f>C31</f>
        <v/>
      </c>
      <c r="R31" s="1225">
        <f>D31</f>
        <v/>
      </c>
      <c r="S31" s="1226">
        <f>X31/12*$A$1</f>
        <v/>
      </c>
      <c r="T31" s="1226">
        <f>Y31/12*$A$1</f>
        <v/>
      </c>
      <c r="U31" s="1025" t="n">
        <v>0</v>
      </c>
      <c r="V31" s="1026">
        <f>$R31-U31</f>
        <v/>
      </c>
      <c r="W31" s="678">
        <f>R31/U31-1</f>
        <v/>
      </c>
      <c r="X31" s="1227" t="n"/>
      <c r="Y31" s="1227" t="n"/>
      <c r="Z31" s="1025">
        <f>Y31+X31</f>
        <v/>
      </c>
      <c r="AA31" s="1026">
        <f>R31-Z31</f>
        <v/>
      </c>
      <c r="AB31" s="678">
        <f>R31/Z31-1</f>
        <v/>
      </c>
      <c r="AC31" s="314">
        <f>Z31/$Z$57</f>
        <v/>
      </c>
      <c r="AD31" s="1228" t="n"/>
      <c r="AE31" s="1229">
        <f>AF31-AD31</f>
        <v/>
      </c>
      <c r="AF31" s="1025">
        <f>AC31*4901000000</f>
        <v/>
      </c>
      <c r="AG31" s="1026">
        <f>R31-AF31</f>
        <v/>
      </c>
      <c r="AH31" s="411">
        <f>R31/AF31-1</f>
        <v/>
      </c>
      <c r="AI31" s="1230" t="n"/>
      <c r="AJ31" s="1231">
        <f>AK31-AI31</f>
        <v/>
      </c>
      <c r="AK31" s="1025" t="n">
        <v>0</v>
      </c>
      <c r="AL31" s="1026">
        <f>R31-AK31</f>
        <v/>
      </c>
      <c r="AM31" s="411" t="n">
        <v>0</v>
      </c>
      <c r="AN31" s="1232">
        <f>AI31/12*$A$1</f>
        <v/>
      </c>
      <c r="AO31" s="1232">
        <f>AJ31/12*$A$1</f>
        <v/>
      </c>
      <c r="AP31" s="1025">
        <f>AO31+AN31</f>
        <v/>
      </c>
      <c r="AQ31" s="1026">
        <f>R31-AP31</f>
        <v/>
      </c>
      <c r="AR31" s="411" t="n">
        <v>0</v>
      </c>
      <c r="AS31" s="1233" t="n"/>
      <c r="AT31" s="1234" t="n"/>
      <c r="AU31" s="1025">
        <f>AT31+AS31</f>
        <v/>
      </c>
      <c r="AV31" s="1026">
        <f>AU31-Z31</f>
        <v/>
      </c>
      <c r="AW31" s="508">
        <f>AU31/Z31-1</f>
        <v/>
      </c>
      <c r="AX31" s="1233">
        <f>BC31/12*$A$1</f>
        <v/>
      </c>
      <c r="AY31" s="1234">
        <f>BD31/12*$A$1</f>
        <v/>
      </c>
      <c r="AZ31" s="1025">
        <f>AY31+AX31</f>
        <v/>
      </c>
      <c r="BA31" s="1026">
        <f>$R31-AZ31</f>
        <v/>
      </c>
      <c r="BB31" s="502">
        <f>$R31/AZ31-1</f>
        <v/>
      </c>
      <c r="BC31" s="1233" t="n"/>
      <c r="BD31" s="1234" t="n"/>
      <c r="BE31" s="1025">
        <f>BD31+BC31</f>
        <v/>
      </c>
      <c r="BF31" s="1026">
        <f>$R31-BE31</f>
        <v/>
      </c>
      <c r="BG31" s="502">
        <f>$R31/BE31-1</f>
        <v/>
      </c>
    </row>
    <row r="32">
      <c r="A32" s="550" t="inlineStr">
        <is>
          <t>BOLLORE NORWAY (PROSAFE)</t>
        </is>
      </c>
      <c r="B32" s="1235">
        <f>Janvier!B32+Février!B32+Mars!B32+Avril!B32+Mai!B32+Juin!B32+Juillet!B32+Aout!B32+Septembre!B32+Octobre!B32+Novembre!B32+Décembre!B32</f>
        <v/>
      </c>
      <c r="C32" s="1236">
        <f>Janvier!C32+Février!C32+Mars!C32+Avril!C32+Mai!C32+Juin!C32+Juillet!C32+Aout!C32+Septembre!C32+Octobre!C32+Novembre!C32+Décembre!C32</f>
        <v/>
      </c>
      <c r="D32" s="1237">
        <f>Janvier!D32+Février!D32+Mars!D32+Avril!D32+Mai!D32+Juin!D32+Juillet!D32+Aout!D32+Septembre!D32+Octobre!D32+Novembre!D32+Décembre!D32</f>
        <v/>
      </c>
      <c r="E32" s="1238">
        <f>Janvier!E32+Février!E32+Mars!E32+Avril!E32+Mai!E32+Juin!E32+Juillet!E32+Aout!E32+Septembre!E32+Octobre!E32+Novembre!E32+Décembre!E32</f>
        <v/>
      </c>
      <c r="F32" s="1089">
        <f>Janvier!F32+Février!F32+Mars!F32+Avril!F32+Mai!F32+Juin!F32+Juillet!F32+Aout!F32+Septembre!F32+Octobre!F32+Novembre!F32+Décembre!F32</f>
        <v/>
      </c>
      <c r="G32" s="1239">
        <f>Janvier!G32+Février!G32+Mars!G32+Avril!G32+Mai!G32+Juin!G32+Juillet!G32+Aout!G32+Septembre!G32+Octobre!G32+Novembre!G32+Décembre!G32</f>
        <v/>
      </c>
      <c r="H32" s="1239">
        <f>Janvier!H32+Février!H32+Mars!H32+Avril!H32+Mai!H32+Juin!H32+Juillet!H32+Aout!H32+Septembre!H32+Octobre!H32+Novembre!H32+Décembre!H32</f>
        <v/>
      </c>
      <c r="I32" s="1089">
        <f>Janvier!I32+Février!I32+Mars!I32+Avril!I32+Mai!I32+Juin!I32+Juillet!I32+Aout!I32+Septembre!I32+Octobre!I32+Novembre!I32+Décembre!I32</f>
        <v/>
      </c>
      <c r="J32" s="1089">
        <f>Janvier!J32+Février!J32+Mars!J32+Avril!J32+Mai!J32+Juin!J32+Juillet!J32+Aout!J32+Septembre!J32+Octobre!J32+Novembre!J32+Décembre!J32</f>
        <v/>
      </c>
      <c r="K32" s="1097" t="n"/>
      <c r="L32" s="1240">
        <f>SUM(E32:F32,I32:K32)</f>
        <v/>
      </c>
      <c r="M32" s="1222">
        <f>L32+D32</f>
        <v/>
      </c>
      <c r="N32" s="1223">
        <f>M32/655.957</f>
        <v/>
      </c>
      <c r="O32" s="445">
        <f>A32</f>
        <v/>
      </c>
      <c r="P32" s="1224">
        <f>B32</f>
        <v/>
      </c>
      <c r="Q32" s="1224">
        <f>C32</f>
        <v/>
      </c>
      <c r="R32" s="1225">
        <f>D32</f>
        <v/>
      </c>
      <c r="S32" s="1226">
        <f>X32/12*$A$1</f>
        <v/>
      </c>
      <c r="T32" s="1226">
        <f>Y32/12*$A$1</f>
        <v/>
      </c>
      <c r="U32" s="1025" t="n">
        <v>0</v>
      </c>
      <c r="V32" s="1026">
        <f>$R32-U32</f>
        <v/>
      </c>
      <c r="W32" s="678">
        <f>R32/U32-1</f>
        <v/>
      </c>
      <c r="X32" s="1227" t="n"/>
      <c r="Y32" s="1227" t="n">
        <v>2000000</v>
      </c>
      <c r="Z32" s="1025">
        <f>Y32+X32</f>
        <v/>
      </c>
      <c r="AA32" s="1026">
        <f>R32-Z32</f>
        <v/>
      </c>
      <c r="AB32" s="678">
        <f>R32/Z32-1</f>
        <v/>
      </c>
      <c r="AC32" s="314">
        <f>Z32/$Z$57</f>
        <v/>
      </c>
      <c r="AD32" s="1228" t="n"/>
      <c r="AE32" s="1229">
        <f>AF32-AD32</f>
        <v/>
      </c>
      <c r="AF32" s="1025">
        <f>AC32*4901000000</f>
        <v/>
      </c>
      <c r="AG32" s="1026">
        <f>R32-AF32</f>
        <v/>
      </c>
      <c r="AH32" s="411">
        <f>R32/AF32-1</f>
        <v/>
      </c>
      <c r="AI32" s="1230" t="n"/>
      <c r="AJ32" s="1231">
        <f>AK32-AI32</f>
        <v/>
      </c>
      <c r="AK32" s="1025" t="n">
        <v>0</v>
      </c>
      <c r="AL32" s="1026">
        <f>R32-AK32</f>
        <v/>
      </c>
      <c r="AM32" s="411" t="n">
        <v>0</v>
      </c>
      <c r="AN32" s="1232">
        <f>AI32/12*$A$1</f>
        <v/>
      </c>
      <c r="AO32" s="1232">
        <f>AJ32/12*$A$1</f>
        <v/>
      </c>
      <c r="AP32" s="1025">
        <f>AO32+AN32</f>
        <v/>
      </c>
      <c r="AQ32" s="1026">
        <f>R32-AP32</f>
        <v/>
      </c>
      <c r="AR32" s="411" t="n">
        <v>0</v>
      </c>
      <c r="AS32" s="1233" t="n"/>
      <c r="AT32" s="1234" t="n">
        <v>25000</v>
      </c>
      <c r="AU32" s="1025">
        <f>AT32+AS32</f>
        <v/>
      </c>
      <c r="AV32" s="1026">
        <f>AU32-Z32</f>
        <v/>
      </c>
      <c r="AW32" s="508">
        <f>AU32/Z32-1</f>
        <v/>
      </c>
      <c r="AX32" s="1233">
        <f>BC32/12*$A$1</f>
        <v/>
      </c>
      <c r="AY32" s="1234">
        <f>BD32/12*$A$1</f>
        <v/>
      </c>
      <c r="AZ32" s="1025">
        <f>AY32+AX32</f>
        <v/>
      </c>
      <c r="BA32" s="1026">
        <f>$R32-AZ32</f>
        <v/>
      </c>
      <c r="BB32" s="502">
        <f>$R32/AZ32-1</f>
        <v/>
      </c>
      <c r="BC32" s="1233" t="n"/>
      <c r="BD32" s="1234" t="n">
        <v>25000</v>
      </c>
      <c r="BE32" s="1025">
        <f>BD32+BC32</f>
        <v/>
      </c>
      <c r="BF32" s="1026">
        <f>$R32-BE32</f>
        <v/>
      </c>
      <c r="BG32" s="502">
        <f>$R32/BE32-1</f>
        <v/>
      </c>
    </row>
    <row r="33">
      <c r="A33" s="550" t="inlineStr">
        <is>
          <t>AGL GHANA</t>
        </is>
      </c>
      <c r="B33" s="1235">
        <f>Janvier!B33+Février!B33+Mars!B33+Avril!B33+Mai!B33+Juin!B33+Juillet!B33+Aout!B33+Septembre!B33+Octobre!B33+Novembre!B33+Décembre!B33</f>
        <v/>
      </c>
      <c r="C33" s="1236">
        <f>Janvier!C33+Février!C33+Mars!C33+Avril!C33+Mai!C33+Juin!C33+Juillet!C33+Aout!C33+Septembre!C33+Octobre!C33+Novembre!C33+Décembre!C33</f>
        <v/>
      </c>
      <c r="D33" s="1237">
        <f>Janvier!D33+Février!D33+Mars!D33+Avril!D33+Mai!D33+Juin!D33+Juillet!D33+Aout!D33+Septembre!D33+Octobre!D33+Novembre!D33+Décembre!D33</f>
        <v/>
      </c>
      <c r="E33" s="1238">
        <f>Janvier!E33+Février!E33+Mars!E33+Avril!E33+Mai!E33+Juin!E33+Juillet!E33+Aout!E33+Septembre!E33+Octobre!E33+Novembre!E33+Décembre!E33</f>
        <v/>
      </c>
      <c r="F33" s="1089">
        <f>Janvier!F33+Février!F33+Mars!F33+Avril!F33+Mai!F33+Juin!F33+Juillet!F33+Aout!F33+Septembre!F33+Octobre!F33+Novembre!F33+Décembre!F33</f>
        <v/>
      </c>
      <c r="G33" s="1239">
        <f>Janvier!G33+Février!G33+Mars!G33+Avril!G33+Mai!G33+Juin!G33+Juillet!G33+Aout!G33+Septembre!G33+Octobre!G33+Novembre!G33+Décembre!G33</f>
        <v/>
      </c>
      <c r="H33" s="1239">
        <f>Janvier!H33+Février!H33+Mars!H33+Avril!H33+Mai!H33+Juin!H33+Juillet!H33+Aout!H33+Septembre!H33+Octobre!H33+Novembre!H33+Décembre!H33</f>
        <v/>
      </c>
      <c r="I33" s="1089">
        <f>Janvier!I33+Février!I33+Mars!I33+Avril!I33+Mai!I33+Juin!I33+Juillet!I33+Aout!I33+Septembre!I33+Octobre!I33+Novembre!I33+Décembre!I33</f>
        <v/>
      </c>
      <c r="J33" s="1089">
        <f>Janvier!J33+Février!J33+Mars!J33+Avril!J33+Mai!J33+Juin!J33+Juillet!J33+Aout!J33+Septembre!J33+Octobre!J33+Novembre!J33+Décembre!J33</f>
        <v/>
      </c>
      <c r="K33" s="1097" t="n"/>
      <c r="L33" s="1240">
        <f>SUM(E33:F33,I33:K33)</f>
        <v/>
      </c>
      <c r="M33" s="1222">
        <f>L33+D33</f>
        <v/>
      </c>
      <c r="N33" s="1223">
        <f>M33/655.957</f>
        <v/>
      </c>
      <c r="O33" s="445">
        <f>A33</f>
        <v/>
      </c>
      <c r="P33" s="1224">
        <f>B33</f>
        <v/>
      </c>
      <c r="Q33" s="1224">
        <f>C33</f>
        <v/>
      </c>
      <c r="R33" s="1225">
        <f>D33</f>
        <v/>
      </c>
      <c r="S33" s="1226">
        <f>X33/12*$A$1</f>
        <v/>
      </c>
      <c r="T33" s="1226">
        <f>Y33/12*$A$1</f>
        <v/>
      </c>
      <c r="U33" s="1025" t="n">
        <v>0</v>
      </c>
      <c r="V33" s="1026">
        <f>$R33-U33</f>
        <v/>
      </c>
      <c r="W33" s="678">
        <f>R33/U33-1</f>
        <v/>
      </c>
      <c r="X33" s="1227" t="n"/>
      <c r="Y33" s="1227" t="n"/>
      <c r="Z33" s="1025">
        <f>Y33+X33</f>
        <v/>
      </c>
      <c r="AA33" s="1026">
        <f>R33-Z33</f>
        <v/>
      </c>
      <c r="AB33" s="678">
        <f>R33/Z33-1</f>
        <v/>
      </c>
      <c r="AC33" s="314">
        <f>Z33/$Z$57</f>
        <v/>
      </c>
      <c r="AD33" s="1228" t="n"/>
      <c r="AE33" s="1229">
        <f>AF33-AD33</f>
        <v/>
      </c>
      <c r="AF33" s="1025">
        <f>AC33*4901000000</f>
        <v/>
      </c>
      <c r="AG33" s="1026">
        <f>R33-AF33</f>
        <v/>
      </c>
      <c r="AH33" s="411">
        <f>R33/AF33-1</f>
        <v/>
      </c>
      <c r="AI33" s="1230" t="n"/>
      <c r="AJ33" s="1231">
        <f>AK33-AI33</f>
        <v/>
      </c>
      <c r="AK33" s="1025" t="n">
        <v>0</v>
      </c>
      <c r="AL33" s="1026">
        <f>R33-AK33</f>
        <v/>
      </c>
      <c r="AM33" s="411" t="n">
        <v>0</v>
      </c>
      <c r="AN33" s="1232">
        <f>AI33/12*$A$1</f>
        <v/>
      </c>
      <c r="AO33" s="1232">
        <f>AJ33/12*$A$1</f>
        <v/>
      </c>
      <c r="AP33" s="1025">
        <f>AO33+AN33</f>
        <v/>
      </c>
      <c r="AQ33" s="1026">
        <f>R33-AP33</f>
        <v/>
      </c>
      <c r="AR33" s="411" t="n">
        <v>0</v>
      </c>
      <c r="AS33" s="1233" t="n"/>
      <c r="AT33" s="1234" t="n"/>
      <c r="AU33" s="1025">
        <f>AT33+AS33</f>
        <v/>
      </c>
      <c r="AV33" s="1026">
        <f>AU33-Z33</f>
        <v/>
      </c>
      <c r="AW33" s="508">
        <f>AU33/Z33-1</f>
        <v/>
      </c>
      <c r="AX33" s="1233">
        <f>BC33/12*$A$1</f>
        <v/>
      </c>
      <c r="AY33" s="1234">
        <f>BD33/12*$A$1</f>
        <v/>
      </c>
      <c r="AZ33" s="1025">
        <f>AY33+AX33</f>
        <v/>
      </c>
      <c r="BA33" s="1026">
        <f>$R33-AZ33</f>
        <v/>
      </c>
      <c r="BB33" s="508">
        <f>$R33/AZ33-1</f>
        <v/>
      </c>
      <c r="BC33" s="1233" t="n"/>
      <c r="BD33" s="1234" t="n"/>
      <c r="BE33" s="1025">
        <f>BD33+BC33</f>
        <v/>
      </c>
      <c r="BF33" s="1026">
        <f>$R33-BE33</f>
        <v/>
      </c>
      <c r="BG33" s="508">
        <f>$R33/BE33-1</f>
        <v/>
      </c>
    </row>
    <row r="34">
      <c r="A34" s="550" t="inlineStr">
        <is>
          <t>OMA CI</t>
        </is>
      </c>
      <c r="B34" s="1235">
        <f>Janvier!B34+Février!B34+Mars!B34+Avril!B34+Mai!B34+Juin!B34+Juillet!B34+Aout!B34+Septembre!B34+Octobre!B34+Novembre!B34+Décembre!B34</f>
        <v/>
      </c>
      <c r="C34" s="1236">
        <f>Janvier!C34+Février!C34+Mars!C34+Avril!C34+Mai!C34+Juin!C34+Juillet!C34+Aout!C34+Septembre!C34+Octobre!C34+Novembre!C34+Décembre!C34</f>
        <v/>
      </c>
      <c r="D34" s="1237">
        <f>Janvier!D34+Février!D34+Mars!D34+Avril!D34+Mai!D34+Juin!D34+Juillet!D34+Aout!D34+Septembre!D34+Octobre!D34+Novembre!D34+Décembre!D34</f>
        <v/>
      </c>
      <c r="E34" s="1238">
        <f>Janvier!E34+Février!E34+Mars!E34+Avril!E34+Mai!E34+Juin!E34+Juillet!E34+Aout!E34+Septembre!E34+Octobre!E34+Novembre!E34+Décembre!E34</f>
        <v/>
      </c>
      <c r="F34" s="1089">
        <f>Janvier!F34+Février!F34+Mars!F34+Avril!F34+Mai!F34+Juin!F34+Juillet!F34+Aout!F34+Septembre!F34+Octobre!F34+Novembre!F34+Décembre!F34</f>
        <v/>
      </c>
      <c r="G34" s="1239">
        <f>Janvier!G34+Février!G34+Mars!G34+Avril!G34+Mai!G34+Juin!G34+Juillet!G34+Aout!G34+Septembre!G34+Octobre!G34+Novembre!G34+Décembre!G34</f>
        <v/>
      </c>
      <c r="H34" s="1239">
        <f>Janvier!H34+Février!H34+Mars!H34+Avril!H34+Mai!H34+Juin!H34+Juillet!H34+Aout!H34+Septembre!H34+Octobre!H34+Novembre!H34+Décembre!H34</f>
        <v/>
      </c>
      <c r="I34" s="1089">
        <f>Janvier!I34+Février!I34+Mars!I34+Avril!I34+Mai!I34+Juin!I34+Juillet!I34+Aout!I34+Septembre!I34+Octobre!I34+Novembre!I34+Décembre!I34</f>
        <v/>
      </c>
      <c r="J34" s="1089">
        <f>Janvier!J34+Février!J34+Mars!J34+Avril!J34+Mai!J34+Juin!J34+Juillet!J34+Aout!J34+Septembre!J34+Octobre!J34+Novembre!J34+Décembre!J34</f>
        <v/>
      </c>
      <c r="K34" s="1097" t="n"/>
      <c r="L34" s="1240">
        <f>SUM(E34:F34,I34:K34)</f>
        <v/>
      </c>
      <c r="M34" s="1222">
        <f>L34+D34</f>
        <v/>
      </c>
      <c r="N34" s="1223">
        <f>M34/655.957</f>
        <v/>
      </c>
      <c r="O34" s="445">
        <f>A34</f>
        <v/>
      </c>
      <c r="P34" s="1224">
        <f>B34</f>
        <v/>
      </c>
      <c r="Q34" s="1224">
        <f>C34</f>
        <v/>
      </c>
      <c r="R34" s="1225">
        <f>D34</f>
        <v/>
      </c>
      <c r="S34" s="1226">
        <f>X34/12*$A$1</f>
        <v/>
      </c>
      <c r="T34" s="1226">
        <f>Y34/12*$A$1</f>
        <v/>
      </c>
      <c r="U34" s="1025" t="n">
        <v>0</v>
      </c>
      <c r="V34" s="1026">
        <f>$R34-U34</f>
        <v/>
      </c>
      <c r="W34" s="678">
        <f>R34/U34-1</f>
        <v/>
      </c>
      <c r="X34" s="1227" t="n"/>
      <c r="Y34" s="1227" t="n"/>
      <c r="Z34" s="1025">
        <f>Y34+X34</f>
        <v/>
      </c>
      <c r="AA34" s="1026">
        <f>R34-Z34</f>
        <v/>
      </c>
      <c r="AB34" s="678">
        <f>R34/Z34-1</f>
        <v/>
      </c>
      <c r="AC34" s="314">
        <f>Z34/$Z$57</f>
        <v/>
      </c>
      <c r="AD34" s="1228" t="n"/>
      <c r="AE34" s="1229">
        <f>AF34-AD34</f>
        <v/>
      </c>
      <c r="AF34" s="1025" t="n">
        <v>500000</v>
      </c>
      <c r="AG34" s="1026">
        <f>R34-AF34</f>
        <v/>
      </c>
      <c r="AH34" s="461">
        <f>R34/AF34-1</f>
        <v/>
      </c>
      <c r="AI34" s="1230" t="n"/>
      <c r="AJ34" s="1231">
        <f>AK34-AI34</f>
        <v/>
      </c>
      <c r="AK34" s="1025" t="n">
        <v>500000</v>
      </c>
      <c r="AL34" s="1026">
        <f>R34-AK34</f>
        <v/>
      </c>
      <c r="AM34" s="457">
        <f>R34/AK34-1</f>
        <v/>
      </c>
      <c r="AN34" s="1232">
        <f>AI34/12*$A$1</f>
        <v/>
      </c>
      <c r="AO34" s="1232">
        <f>AJ34/12*$A$1</f>
        <v/>
      </c>
      <c r="AP34" s="1025">
        <f>AO34+AN34</f>
        <v/>
      </c>
      <c r="AQ34" s="1026">
        <f>R34-AP34</f>
        <v/>
      </c>
      <c r="AR34" s="461">
        <f>R34/AP34-1</f>
        <v/>
      </c>
      <c r="AS34" s="1233" t="n"/>
      <c r="AT34" s="1234" t="n"/>
      <c r="AU34" s="1025">
        <f>AT34+AS34</f>
        <v/>
      </c>
      <c r="AV34" s="1026">
        <f>AU34-Z34</f>
        <v/>
      </c>
      <c r="AW34" s="508">
        <f>AU34/Z34-1</f>
        <v/>
      </c>
      <c r="AX34" s="1233">
        <f>BC34/12*$A$1</f>
        <v/>
      </c>
      <c r="AY34" s="1234">
        <f>BD34/12*$A$1</f>
        <v/>
      </c>
      <c r="AZ34" s="1025">
        <f>AY34+AX34</f>
        <v/>
      </c>
      <c r="BA34" s="1026">
        <f>$R34-AZ34</f>
        <v/>
      </c>
      <c r="BB34" s="508">
        <f>$R34/AZ34-1</f>
        <v/>
      </c>
      <c r="BC34" s="1233" t="n"/>
      <c r="BD34" s="1234" t="n"/>
      <c r="BE34" s="1025">
        <f>BD34+BC34</f>
        <v/>
      </c>
      <c r="BF34" s="1026">
        <f>$R34-BE34</f>
        <v/>
      </c>
      <c r="BG34" s="508">
        <f>$R34/BE34-1</f>
        <v/>
      </c>
    </row>
    <row r="35">
      <c r="A35" s="550" t="inlineStr">
        <is>
          <t>AYIMAN LOGISTICS</t>
        </is>
      </c>
      <c r="B35" s="1235">
        <f>Janvier!B35+Février!B35+Mars!B35+Avril!B35+Mai!B35+Juin!B35+Juillet!B35+Aout!B35+Septembre!B35+Octobre!B35+Novembre!B35+Décembre!B35</f>
        <v/>
      </c>
      <c r="C35" s="1236">
        <f>Janvier!C35+Février!C35+Mars!C35+Avril!C35+Mai!C35+Juin!C35+Juillet!C35+Aout!C35+Septembre!C35+Octobre!C35+Novembre!C35+Décembre!C35</f>
        <v/>
      </c>
      <c r="D35" s="1237">
        <f>Janvier!D35+Février!D35+Mars!D35+Avril!D35+Mai!D35+Juin!D35+Juillet!D35+Aout!D35+Septembre!D35+Octobre!D35+Novembre!D35+Décembre!D35</f>
        <v/>
      </c>
      <c r="E35" s="1238">
        <f>Janvier!E35+Février!E35+Mars!E35+Avril!E35+Mai!E35+Juin!E35+Juillet!E35+Aout!E35+Septembre!E35+Octobre!E35+Novembre!E35+Décembre!E35</f>
        <v/>
      </c>
      <c r="F35" s="1089">
        <f>Janvier!F35+Février!F35+Mars!F35+Avril!F35+Mai!F35+Juin!F35+Juillet!F35+Aout!F35+Septembre!F35+Octobre!F35+Novembre!F35+Décembre!F35</f>
        <v/>
      </c>
      <c r="G35" s="1239">
        <f>Janvier!G35+Février!G35+Mars!G35+Avril!G35+Mai!G35+Juin!G35+Juillet!G35+Aout!G35+Septembre!G35+Octobre!G35+Novembre!G35+Décembre!G35</f>
        <v/>
      </c>
      <c r="H35" s="1239">
        <f>Janvier!H35+Février!H35+Mars!H35+Avril!H35+Mai!H35+Juin!H35+Juillet!H35+Aout!H35+Septembre!H35+Octobre!H35+Novembre!H35+Décembre!H35</f>
        <v/>
      </c>
      <c r="I35" s="1089">
        <f>Janvier!I35+Février!I35+Mars!I35+Avril!I35+Mai!I35+Juin!I35+Juillet!I35+Aout!I35+Septembre!I35+Octobre!I35+Novembre!I35+Décembre!I35</f>
        <v/>
      </c>
      <c r="J35" s="1089">
        <f>Janvier!J35+Février!J35+Mars!J35+Avril!J35+Mai!J35+Juin!J35+Juillet!J35+Aout!J35+Septembre!J35+Octobre!J35+Novembre!J35+Décembre!J35</f>
        <v/>
      </c>
      <c r="K35" s="1097" t="n"/>
      <c r="L35" s="1240">
        <f>SUM(E35:F35,I35:K35)</f>
        <v/>
      </c>
      <c r="M35" s="1222">
        <f>L35+D35</f>
        <v/>
      </c>
      <c r="N35" s="1223">
        <f>M35/655.957</f>
        <v/>
      </c>
      <c r="O35" s="445">
        <f>A35</f>
        <v/>
      </c>
      <c r="P35" s="1224">
        <f>B35</f>
        <v/>
      </c>
      <c r="Q35" s="1224">
        <f>C35</f>
        <v/>
      </c>
      <c r="R35" s="1225">
        <f>D35</f>
        <v/>
      </c>
      <c r="S35" s="1226">
        <f>X35/12*$A$1</f>
        <v/>
      </c>
      <c r="T35" s="1226">
        <f>Y35/12*$A$1</f>
        <v/>
      </c>
      <c r="U35" s="1025" t="n">
        <v>0</v>
      </c>
      <c r="V35" s="1026">
        <f>$R35-U35</f>
        <v/>
      </c>
      <c r="W35" s="678">
        <f>R35/U35-1</f>
        <v/>
      </c>
      <c r="X35" s="1227" t="n"/>
      <c r="Y35" s="1227" t="n"/>
      <c r="Z35" s="1025">
        <f>Y35+X35</f>
        <v/>
      </c>
      <c r="AA35" s="1026">
        <f>R35-Z35</f>
        <v/>
      </c>
      <c r="AB35" s="678">
        <f>R35/Z35-1</f>
        <v/>
      </c>
      <c r="AC35" s="314">
        <f>Z35/$Z$57</f>
        <v/>
      </c>
      <c r="AD35" s="1228" t="n"/>
      <c r="AE35" s="1229">
        <f>AF35-AD35</f>
        <v/>
      </c>
      <c r="AF35" s="1025" t="n">
        <v>900000</v>
      </c>
      <c r="AG35" s="1026">
        <f>R35-AF35</f>
        <v/>
      </c>
      <c r="AH35" s="411">
        <f>R35/AF35-1</f>
        <v/>
      </c>
      <c r="AI35" s="1230" t="n"/>
      <c r="AJ35" s="1231">
        <f>AK35-AI35</f>
        <v/>
      </c>
      <c r="AK35" s="1025" t="n">
        <v>900000</v>
      </c>
      <c r="AL35" s="1026">
        <f>R35-AK35</f>
        <v/>
      </c>
      <c r="AM35" s="411">
        <f>R35/AK35-1</f>
        <v/>
      </c>
      <c r="AN35" s="1232">
        <f>AI35/12*$A$1</f>
        <v/>
      </c>
      <c r="AO35" s="1232">
        <f>AJ35/12*$A$1</f>
        <v/>
      </c>
      <c r="AP35" s="1025">
        <f>AO35+AN35</f>
        <v/>
      </c>
      <c r="AQ35" s="1026">
        <f>R35-AP35</f>
        <v/>
      </c>
      <c r="AR35" s="411">
        <f>R35/AP35-1</f>
        <v/>
      </c>
      <c r="AS35" s="1233" t="n"/>
      <c r="AT35" s="1234" t="n">
        <v>100000</v>
      </c>
      <c r="AU35" s="1025">
        <f>AT35+AS35</f>
        <v/>
      </c>
      <c r="AV35" s="1026">
        <f>AU35-Z35</f>
        <v/>
      </c>
      <c r="AW35" s="508">
        <f>AU35/Z35-1</f>
        <v/>
      </c>
      <c r="AX35" s="1233">
        <f>BC35/12*$A$1</f>
        <v/>
      </c>
      <c r="AY35" s="1234">
        <f>BD35/12*$A$1</f>
        <v/>
      </c>
      <c r="AZ35" s="1025">
        <f>AY35+AX35</f>
        <v/>
      </c>
      <c r="BA35" s="1026">
        <f>$R35-AZ35</f>
        <v/>
      </c>
      <c r="BB35" s="502">
        <f>$R35/AZ35-1</f>
        <v/>
      </c>
      <c r="BC35" s="1233" t="n"/>
      <c r="BD35" s="1234" t="n">
        <v>132000</v>
      </c>
      <c r="BE35" s="1025">
        <f>BD35+BC35</f>
        <v/>
      </c>
      <c r="BF35" s="1026">
        <f>$R35-BE35</f>
        <v/>
      </c>
      <c r="BG35" s="502">
        <f>$R35/BE35-1</f>
        <v/>
      </c>
    </row>
    <row r="36">
      <c r="A36" s="550" t="inlineStr">
        <is>
          <t>AGL DIVERS</t>
        </is>
      </c>
      <c r="B36" s="1235">
        <f>Janvier!B36+Février!B36+Mars!B36+Avril!B36+Mai!B36+Juin!B36+Juillet!B36+Aout!B36+Septembre!B36+Octobre!B36+Novembre!B36+Décembre!B36</f>
        <v/>
      </c>
      <c r="C36" s="1236">
        <f>Janvier!C36+Février!C36+Mars!C36+Avril!C36+Mai!C36+Juin!C36+Juillet!C36+Aout!C36+Septembre!C36+Octobre!C36+Novembre!C36+Décembre!C36</f>
        <v/>
      </c>
      <c r="D36" s="1237">
        <f>Janvier!D36+Février!D36+Mars!D36+Avril!D36+Mai!D36+Juin!D36+Juillet!D36+Aout!D36+Septembre!D36+Octobre!D36+Novembre!D36+Décembre!D36</f>
        <v/>
      </c>
      <c r="E36" s="1238">
        <f>Janvier!E36+Février!E36+Mars!E36+Avril!E36+Mai!E36+Juin!E36+Juillet!E36+Aout!E36+Septembre!E36+Octobre!E36+Novembre!E36+Décembre!E36</f>
        <v/>
      </c>
      <c r="F36" s="1089">
        <f>Janvier!F36+Février!F36+Mars!F36+Avril!F36+Mai!F36+Juin!F36+Juillet!F36+Aout!F36+Septembre!F36+Octobre!F36+Novembre!F36+Décembre!F36</f>
        <v/>
      </c>
      <c r="G36" s="1239">
        <f>Janvier!G36+Février!G36+Mars!G36+Avril!G36+Mai!G36+Juin!G36+Juillet!G36+Aout!G36+Septembre!G36+Octobre!G36+Novembre!G36+Décembre!G36</f>
        <v/>
      </c>
      <c r="H36" s="1239">
        <f>Janvier!H36+Février!H36+Mars!H36+Avril!H36+Mai!H36+Juin!H36+Juillet!H36+Aout!H36+Septembre!H36+Octobre!H36+Novembre!H36+Décembre!H36</f>
        <v/>
      </c>
      <c r="I36" s="1089">
        <f>Janvier!I36+Février!I36+Mars!I36+Avril!I36+Mai!I36+Juin!I36+Juillet!I36+Aout!I36+Septembre!I36+Octobre!I36+Novembre!I36+Décembre!I36</f>
        <v/>
      </c>
      <c r="J36" s="1089">
        <f>Janvier!J36+Février!J36+Mars!J36+Avril!J36+Mai!J36+Juin!J36+Juillet!J36+Aout!J36+Septembre!J36+Octobre!J36+Novembre!J36+Décembre!J36</f>
        <v/>
      </c>
      <c r="K36" s="1097" t="n"/>
      <c r="L36" s="1240">
        <f>SUM(E36:F36,I36:K36)</f>
        <v/>
      </c>
      <c r="M36" s="1222">
        <f>L36+D36</f>
        <v/>
      </c>
      <c r="N36" s="1223">
        <f>M36/655.957</f>
        <v/>
      </c>
      <c r="O36" s="445">
        <f>A36</f>
        <v/>
      </c>
      <c r="P36" s="1224">
        <f>B36</f>
        <v/>
      </c>
      <c r="Q36" s="1224">
        <f>C36</f>
        <v/>
      </c>
      <c r="R36" s="1225">
        <f>D36</f>
        <v/>
      </c>
      <c r="S36" s="1226">
        <f>X36/12*$A$1</f>
        <v/>
      </c>
      <c r="T36" s="1226">
        <f>Y36/12*$A$1</f>
        <v/>
      </c>
      <c r="U36" s="1025" t="n">
        <v>300000</v>
      </c>
      <c r="V36" s="1026">
        <f>$R36-U36</f>
        <v/>
      </c>
      <c r="W36" s="678">
        <f>R36/U36-1</f>
        <v/>
      </c>
      <c r="X36" s="1227" t="n"/>
      <c r="Y36" s="1227" t="n"/>
      <c r="Z36" s="1025">
        <f>Y36+X36</f>
        <v/>
      </c>
      <c r="AA36" s="1026">
        <f>R36-Z36</f>
        <v/>
      </c>
      <c r="AB36" s="678">
        <f>R36/Z36-1</f>
        <v/>
      </c>
      <c r="AC36" s="314">
        <f>Z36/$Z$57</f>
        <v/>
      </c>
      <c r="AD36" s="1228" t="n"/>
      <c r="AE36" s="1229">
        <f>AF36-AD36</f>
        <v/>
      </c>
      <c r="AF36" s="1025">
        <f>AC36*4901000000</f>
        <v/>
      </c>
      <c r="AG36" s="1026">
        <f>R36-AF36</f>
        <v/>
      </c>
      <c r="AH36" s="411">
        <f>R36/AF36-1</f>
        <v/>
      </c>
      <c r="AI36" s="1230" t="n"/>
      <c r="AJ36" s="1231">
        <f>AK36-AI36</f>
        <v/>
      </c>
      <c r="AK36" s="1025" t="n">
        <v>0</v>
      </c>
      <c r="AL36" s="1026">
        <f>R36-AK36</f>
        <v/>
      </c>
      <c r="AM36" s="411" t="n">
        <v>0</v>
      </c>
      <c r="AN36" s="1232">
        <f>AI36/12*$A$1</f>
        <v/>
      </c>
      <c r="AO36" s="1232">
        <f>AJ36/12*$A$1</f>
        <v/>
      </c>
      <c r="AP36" s="1025">
        <f>AO36+AN36</f>
        <v/>
      </c>
      <c r="AQ36" s="1026">
        <f>R36-AP36</f>
        <v/>
      </c>
      <c r="AR36" s="411" t="n">
        <v>0</v>
      </c>
      <c r="AS36" s="1233" t="n"/>
      <c r="AT36" s="1234" t="n">
        <v>500000</v>
      </c>
      <c r="AU36" s="1025">
        <f>AT36+AS36</f>
        <v/>
      </c>
      <c r="AV36" s="1026">
        <f>AU36-Z36</f>
        <v/>
      </c>
      <c r="AW36" s="508">
        <f>AU36/Z36-1</f>
        <v/>
      </c>
      <c r="AX36" s="1233">
        <f>BC36/12*$A$1</f>
        <v/>
      </c>
      <c r="AY36" s="1234">
        <f>BD36/12*$A$1</f>
        <v/>
      </c>
      <c r="AZ36" s="1025">
        <f>AY36+AX36</f>
        <v/>
      </c>
      <c r="BA36" s="1026">
        <f>$R36-AZ36</f>
        <v/>
      </c>
      <c r="BB36" s="533">
        <f>$R36/AZ36-1</f>
        <v/>
      </c>
      <c r="BC36" s="1233" t="n"/>
      <c r="BD36" s="1234" t="n">
        <v>500000</v>
      </c>
      <c r="BE36" s="1025">
        <f>BD36+BC36</f>
        <v/>
      </c>
      <c r="BF36" s="1026">
        <f>$R36-BE36</f>
        <v/>
      </c>
      <c r="BG36" s="533">
        <f>$R36/BE36-1</f>
        <v/>
      </c>
    </row>
    <row r="37">
      <c r="A37" s="550" t="inlineStr">
        <is>
          <t>2THEPOINT</t>
        </is>
      </c>
      <c r="B37" s="1235">
        <f>Janvier!B37+Février!B37+Mars!B37+Avril!B37+Mai!B37+Juin!B37+Juillet!B37+Aout!B37+Septembre!B37+Octobre!B37+Novembre!B37+Décembre!B37</f>
        <v/>
      </c>
      <c r="C37" s="1236">
        <f>Janvier!C37+Février!C37+Mars!C37+Avril!C37+Mai!C37+Juin!C37+Juillet!C37+Aout!C37+Septembre!C37+Octobre!C37+Novembre!C37+Décembre!C37</f>
        <v/>
      </c>
      <c r="D37" s="1237">
        <f>Janvier!D37+Février!D37+Mars!D37+Avril!D37+Mai!D37+Juin!D37+Juillet!D37+Aout!D37+Septembre!D37+Octobre!D37+Novembre!D37+Décembre!D37</f>
        <v/>
      </c>
      <c r="E37" s="1238">
        <f>Janvier!E37+Février!E37+Mars!E37+Avril!E37+Mai!E37+Juin!E37+Juillet!E37+Aout!E37+Septembre!E37+Octobre!E37+Novembre!E37+Décembre!E37</f>
        <v/>
      </c>
      <c r="F37" s="1089">
        <f>Janvier!F37+Février!F37+Mars!F37+Avril!F37+Mai!F37+Juin!F37+Juillet!F37+Aout!F37+Septembre!F37+Octobre!F37+Novembre!F37+Décembre!F37</f>
        <v/>
      </c>
      <c r="G37" s="1239">
        <f>Janvier!G37+Février!G37+Mars!G37+Avril!G37+Mai!G37+Juin!G37+Juillet!G37+Aout!G37+Septembre!G37+Octobre!G37+Novembre!G37+Décembre!G37</f>
        <v/>
      </c>
      <c r="H37" s="1239">
        <f>Janvier!H37+Février!H37+Mars!H37+Avril!H37+Mai!H37+Juin!H37+Juillet!H37+Aout!H37+Septembre!H37+Octobre!H37+Novembre!H37+Décembre!H37</f>
        <v/>
      </c>
      <c r="I37" s="1089">
        <f>Janvier!I37+Février!I37+Mars!I37+Avril!I37+Mai!I37+Juin!I37+Juillet!I37+Aout!I37+Septembre!I37+Octobre!I37+Novembre!I37+Décembre!I37</f>
        <v/>
      </c>
      <c r="J37" s="1089">
        <f>Janvier!J37+Février!J37+Mars!J37+Avril!J37+Mai!J37+Juin!J37+Juillet!J37+Aout!J37+Septembre!J37+Octobre!J37+Novembre!J37+Décembre!J37</f>
        <v/>
      </c>
      <c r="K37" s="1097" t="n"/>
      <c r="L37" s="1240">
        <f>SUM(E37:F37,I37:K37)</f>
        <v/>
      </c>
      <c r="M37" s="1222">
        <f>L37+D37</f>
        <v/>
      </c>
      <c r="N37" s="1223">
        <f>M37/655.957</f>
        <v/>
      </c>
      <c r="O37" s="445">
        <f>A37</f>
        <v/>
      </c>
      <c r="P37" s="1224">
        <f>B37</f>
        <v/>
      </c>
      <c r="Q37" s="1224">
        <f>C37</f>
        <v/>
      </c>
      <c r="R37" s="1225">
        <f>D37</f>
        <v/>
      </c>
      <c r="S37" s="1226">
        <f>X37/12*$A$1</f>
        <v/>
      </c>
      <c r="T37" s="1226">
        <f>Y37/12*$A$1</f>
        <v/>
      </c>
      <c r="U37" s="1025" t="n">
        <v>0</v>
      </c>
      <c r="V37" s="1026">
        <f>$R37-U37</f>
        <v/>
      </c>
      <c r="W37" s="678">
        <f>R37/U37-1</f>
        <v/>
      </c>
      <c r="X37" s="1227" t="n"/>
      <c r="Y37" s="1227" t="n">
        <v>5000000</v>
      </c>
      <c r="Z37" s="1025">
        <f>Y37+X37</f>
        <v/>
      </c>
      <c r="AA37" s="1026">
        <f>R37-Z37</f>
        <v/>
      </c>
      <c r="AB37" s="678">
        <f>R37/Z37-1</f>
        <v/>
      </c>
      <c r="AC37" s="314">
        <f>Z37/$Z$57</f>
        <v/>
      </c>
      <c r="AD37" s="1228" t="n"/>
      <c r="AE37" s="1229">
        <f>AF37-AD37</f>
        <v/>
      </c>
      <c r="AF37" s="1025" t="n">
        <v>25000000</v>
      </c>
      <c r="AG37" s="1026">
        <f>R37-AF37</f>
        <v/>
      </c>
      <c r="AH37" s="461">
        <f>R37/AF37-1</f>
        <v/>
      </c>
      <c r="AI37" s="1230" t="n"/>
      <c r="AJ37" s="1231">
        <f>AK37-AI37</f>
        <v/>
      </c>
      <c r="AK37" s="1025" t="n">
        <v>25000000</v>
      </c>
      <c r="AL37" s="1026">
        <f>R37-AK37</f>
        <v/>
      </c>
      <c r="AM37" s="457">
        <f>R37/AK37-1</f>
        <v/>
      </c>
      <c r="AN37" s="1232">
        <f>AI37/12*$A$1</f>
        <v/>
      </c>
      <c r="AO37" s="1232">
        <f>AJ37/12*$A$1</f>
        <v/>
      </c>
      <c r="AP37" s="1025">
        <f>AO37+AN37</f>
        <v/>
      </c>
      <c r="AQ37" s="1026">
        <f>R37-AP37</f>
        <v/>
      </c>
      <c r="AR37" s="461">
        <f>R37/AP37-1</f>
        <v/>
      </c>
      <c r="AS37" s="1233" t="n"/>
      <c r="AT37" s="1234" t="n">
        <v>115000</v>
      </c>
      <c r="AU37" s="1025">
        <f>AT37+AS37</f>
        <v/>
      </c>
      <c r="AV37" s="1026">
        <f>AU37-Z37</f>
        <v/>
      </c>
      <c r="AW37" s="508">
        <f>AU37/Z37-1</f>
        <v/>
      </c>
      <c r="AX37" s="1233">
        <f>BC37/12*$A$1</f>
        <v/>
      </c>
      <c r="AY37" s="1234">
        <f>BD37/12*$A$1</f>
        <v/>
      </c>
      <c r="AZ37" s="1025">
        <f>AY37+AX37</f>
        <v/>
      </c>
      <c r="BA37" s="1026">
        <f>$R37-AZ37</f>
        <v/>
      </c>
      <c r="BB37" s="502">
        <f>$R37/AZ37-1</f>
        <v/>
      </c>
      <c r="BC37" s="1233" t="n"/>
      <c r="BD37" s="1234" t="n">
        <v>115000</v>
      </c>
      <c r="BE37" s="1025">
        <f>BD37+BC37</f>
        <v/>
      </c>
      <c r="BF37" s="1026">
        <f>$R37-BE37</f>
        <v/>
      </c>
      <c r="BG37" s="533">
        <f>$R37/BE37-1</f>
        <v/>
      </c>
    </row>
    <row r="38">
      <c r="A38" s="550" t="inlineStr">
        <is>
          <t xml:space="preserve">SCHLUMBERGER OILFIELD EASTERN </t>
        </is>
      </c>
      <c r="B38" s="1235">
        <f>Janvier!B38+Février!B38+Mars!B38+Avril!B38+Mai!B38+Juin!B38+Juillet!B38+Aout!B38+Septembre!B38+Octobre!B38+Novembre!B38+Décembre!B38</f>
        <v/>
      </c>
      <c r="C38" s="1236">
        <f>Janvier!C38+Février!C38+Mars!C38+Avril!C38+Mai!C38+Juin!C38+Juillet!C38+Aout!C38+Septembre!C38+Octobre!C38+Novembre!C38+Décembre!C38</f>
        <v/>
      </c>
      <c r="D38" s="1237">
        <f>Janvier!D38+Février!D38+Mars!D38+Avril!D38+Mai!D38+Juin!D38+Juillet!D38+Aout!D38+Septembre!D38+Octobre!D38+Novembre!D38+Décembre!D38</f>
        <v/>
      </c>
      <c r="E38" s="1238">
        <f>Janvier!E38+Février!E38+Mars!E38+Avril!E38+Mai!E38+Juin!E38+Juillet!E38+Aout!E38+Septembre!E38+Octobre!E38+Novembre!E38+Décembre!E38</f>
        <v/>
      </c>
      <c r="F38" s="1089">
        <f>Janvier!F38+Février!F38+Mars!F38+Avril!F38+Mai!F38+Juin!F38+Juillet!F38+Aout!F38+Septembre!F38+Octobre!F38+Novembre!F38+Décembre!F38</f>
        <v/>
      </c>
      <c r="G38" s="1239">
        <f>Janvier!G38+Février!G38+Mars!G38+Avril!G38+Mai!G38+Juin!G38+Juillet!G38+Aout!G38+Septembre!G38+Octobre!G38+Novembre!G38+Décembre!G38</f>
        <v/>
      </c>
      <c r="H38" s="1239">
        <f>Janvier!H38+Février!H38+Mars!H38+Avril!H38+Mai!H38+Juin!H38+Juillet!H38+Aout!H38+Septembre!H38+Octobre!H38+Novembre!H38+Décembre!H38</f>
        <v/>
      </c>
      <c r="I38" s="1089">
        <f>Janvier!I38+Février!I38+Mars!I38+Avril!I38+Mai!I38+Juin!I38+Juillet!I38+Aout!I38+Septembre!I38+Octobre!I38+Novembre!I38+Décembre!I38</f>
        <v/>
      </c>
      <c r="J38" s="1089">
        <f>Janvier!J38+Février!J38+Mars!J38+Avril!J38+Mai!J38+Juin!J38+Juillet!J38+Aout!J38+Septembre!J38+Octobre!J38+Novembre!J38+Décembre!J38</f>
        <v/>
      </c>
      <c r="K38" s="1097" t="n"/>
      <c r="L38" s="1240">
        <f>SUM(E38:F38,I38:K38)</f>
        <v/>
      </c>
      <c r="M38" s="1222">
        <f>L38+D38</f>
        <v/>
      </c>
      <c r="N38" s="1223">
        <f>M38/655.957</f>
        <v/>
      </c>
      <c r="O38" s="445">
        <f>A38</f>
        <v/>
      </c>
      <c r="P38" s="1224">
        <f>B38</f>
        <v/>
      </c>
      <c r="Q38" s="1224">
        <f>C38</f>
        <v/>
      </c>
      <c r="R38" s="1225">
        <f>D38</f>
        <v/>
      </c>
      <c r="S38" s="1226">
        <f>X38/12*$A$1</f>
        <v/>
      </c>
      <c r="T38" s="1226">
        <f>Y38/12*$A$1</f>
        <v/>
      </c>
      <c r="U38" s="1025" t="n">
        <v>12500000</v>
      </c>
      <c r="V38" s="1026">
        <f>$R38-U38</f>
        <v/>
      </c>
      <c r="W38" s="678">
        <f>R38/U38-1</f>
        <v/>
      </c>
      <c r="X38" s="1227" t="n"/>
      <c r="Y38" s="1227" t="n">
        <v>25000000</v>
      </c>
      <c r="Z38" s="1025">
        <f>Y38+X38</f>
        <v/>
      </c>
      <c r="AA38" s="1026">
        <f>R38-Z38</f>
        <v/>
      </c>
      <c r="AB38" s="678">
        <f>R38/Z38-1</f>
        <v/>
      </c>
      <c r="AC38" s="314">
        <f>Z38/$Z$57</f>
        <v/>
      </c>
      <c r="AD38" s="1228" t="n">
        <v>297000000</v>
      </c>
      <c r="AE38" s="1229">
        <f>AF38-AD38</f>
        <v/>
      </c>
      <c r="AF38" s="1025" t="n">
        <v>432000000</v>
      </c>
      <c r="AG38" s="1026">
        <f>R38-AF38</f>
        <v/>
      </c>
      <c r="AH38" s="411">
        <f>R38/AF38-1</f>
        <v/>
      </c>
      <c r="AI38" s="1230" t="n">
        <v>297000000</v>
      </c>
      <c r="AJ38" s="1231">
        <f>AK38-AI38</f>
        <v/>
      </c>
      <c r="AK38" s="1025" t="n">
        <v>667000000</v>
      </c>
      <c r="AL38" s="1026">
        <f>R38-AK38</f>
        <v/>
      </c>
      <c r="AM38" s="457">
        <f>R38/AK38-1</f>
        <v/>
      </c>
      <c r="AN38" s="1232">
        <f>AI38/12*$A$1</f>
        <v/>
      </c>
      <c r="AO38" s="1232">
        <f>AJ38/12*$A$1</f>
        <v/>
      </c>
      <c r="AP38" s="1025">
        <f>AO38+AN38</f>
        <v/>
      </c>
      <c r="AQ38" s="1026">
        <f>R38-AP38</f>
        <v/>
      </c>
      <c r="AR38" s="461">
        <f>R38/AP38-1</f>
        <v/>
      </c>
      <c r="AS38" s="1233" t="n">
        <v>350000000</v>
      </c>
      <c r="AT38" s="1234">
        <f>250000000</f>
        <v/>
      </c>
      <c r="AU38" s="1025">
        <f>AT38+AS38</f>
        <v/>
      </c>
      <c r="AV38" s="1026">
        <f>AU38-Z38</f>
        <v/>
      </c>
      <c r="AW38" s="508">
        <f>AU38/Z38-1</f>
        <v/>
      </c>
      <c r="AX38" s="1233">
        <f>BC38/12*$A$1</f>
        <v/>
      </c>
      <c r="AY38" s="1234">
        <f>BD38/12*$A$1</f>
        <v/>
      </c>
      <c r="AZ38" s="1025">
        <f>AY38+AX38</f>
        <v/>
      </c>
      <c r="BA38" s="1026">
        <f>$R38-AZ38</f>
        <v/>
      </c>
      <c r="BB38" s="502">
        <f>$R38/AZ38-1</f>
        <v/>
      </c>
      <c r="BC38" s="1233" t="n">
        <v>335000000</v>
      </c>
      <c r="BD38" s="1234" t="n">
        <v>280000000</v>
      </c>
      <c r="BE38" s="1025">
        <f>BD38+BC38</f>
        <v/>
      </c>
      <c r="BF38" s="1026">
        <f>$R38-BE38</f>
        <v/>
      </c>
      <c r="BG38" s="533">
        <f>$R38/BE38-1</f>
        <v/>
      </c>
    </row>
    <row r="39" customFormat="1" s="5">
      <c r="A39" s="550" t="inlineStr">
        <is>
          <t>STRACT OFFSHORE</t>
        </is>
      </c>
      <c r="B39" s="1235">
        <f>Janvier!B39+Février!B39+Mars!B39+Avril!B39+Mai!B39+Juin!B39+Juillet!B39+Aout!B39+Septembre!B39+Octobre!B39+Novembre!B39+Décembre!B39</f>
        <v/>
      </c>
      <c r="C39" s="1236">
        <f>Janvier!C39+Février!C39+Mars!C39+Avril!C39+Mai!C39+Juin!C39+Juillet!C39+Aout!C39+Septembre!C39+Octobre!C39+Novembre!C39+Décembre!C39</f>
        <v/>
      </c>
      <c r="D39" s="1237">
        <f>Janvier!D39+Février!D39+Mars!D39+Avril!D39+Mai!D39+Juin!D39+Juillet!D39+Aout!D39+Septembre!D39+Octobre!D39+Novembre!D39+Décembre!D39</f>
        <v/>
      </c>
      <c r="E39" s="1238">
        <f>Janvier!E39+Février!E39+Mars!E39+Avril!E39+Mai!E39+Juin!E39+Juillet!E39+Aout!E39+Septembre!E39+Octobre!E39+Novembre!E39+Décembre!E39</f>
        <v/>
      </c>
      <c r="F39" s="1089">
        <f>Janvier!F39+Février!F39+Mars!F39+Avril!F39+Mai!F39+Juin!F39+Juillet!F39+Aout!F39+Septembre!F39+Octobre!F39+Novembre!F39+Décembre!F39</f>
        <v/>
      </c>
      <c r="G39" s="1239">
        <f>Janvier!G39+Février!G39+Mars!G39+Avril!G39+Mai!G39+Juin!G39+Juillet!G39+Aout!G39+Septembre!G39+Octobre!G39+Novembre!G39+Décembre!G39</f>
        <v/>
      </c>
      <c r="H39" s="1239">
        <f>Janvier!H39+Février!H39+Mars!H39+Avril!H39+Mai!H39+Juin!H39+Juillet!H39+Aout!H39+Septembre!H39+Octobre!H39+Novembre!H39+Décembre!H39</f>
        <v/>
      </c>
      <c r="I39" s="1089">
        <f>Janvier!I39+Février!I39+Mars!I39+Avril!I39+Mai!I39+Juin!I39+Juillet!I39+Aout!I39+Septembre!I39+Octobre!I39+Novembre!I39+Décembre!I39</f>
        <v/>
      </c>
      <c r="J39" s="1089">
        <f>Janvier!J39+Février!J39+Mars!J39+Avril!J39+Mai!J39+Juin!J39+Juillet!J39+Aout!J39+Septembre!J39+Octobre!J39+Novembre!J39+Décembre!J39</f>
        <v/>
      </c>
      <c r="K39" s="1097" t="n"/>
      <c r="L39" s="1240">
        <f>SUM(E39:F39,I39:K39)</f>
        <v/>
      </c>
      <c r="M39" s="1222">
        <f>L39+D39</f>
        <v/>
      </c>
      <c r="N39" s="1223">
        <f>M39/655.957</f>
        <v/>
      </c>
      <c r="O39" s="445">
        <f>A39</f>
        <v/>
      </c>
      <c r="P39" s="1224">
        <f>B39</f>
        <v/>
      </c>
      <c r="Q39" s="1224">
        <f>C39</f>
        <v/>
      </c>
      <c r="R39" s="1225">
        <f>D39</f>
        <v/>
      </c>
      <c r="S39" s="1226">
        <f>X39/12*$A$1</f>
        <v/>
      </c>
      <c r="T39" s="1226">
        <f>Y39/12*$A$1</f>
        <v/>
      </c>
      <c r="U39" s="1025" t="n">
        <v>0</v>
      </c>
      <c r="V39" s="1026">
        <f>$R39-U39</f>
        <v/>
      </c>
      <c r="W39" s="678">
        <f>R39/U39-1</f>
        <v/>
      </c>
      <c r="X39" s="1227" t="n"/>
      <c r="Y39" s="1227" t="n"/>
      <c r="Z39" s="1025">
        <f>Y39+X39</f>
        <v/>
      </c>
      <c r="AA39" s="1026">
        <f>R39-Z39</f>
        <v/>
      </c>
      <c r="AB39" s="678">
        <f>R39/Z39-1</f>
        <v/>
      </c>
      <c r="AC39" s="314">
        <f>Z39/$Z$57</f>
        <v/>
      </c>
      <c r="AD39" s="1228" t="n"/>
      <c r="AE39" s="1229">
        <f>AF39-AD39</f>
        <v/>
      </c>
      <c r="AF39" s="1025" t="n">
        <v>15000000</v>
      </c>
      <c r="AG39" s="1026">
        <f>R39-AF39</f>
        <v/>
      </c>
      <c r="AH39" s="411">
        <f>R39/AF39-1</f>
        <v/>
      </c>
      <c r="AI39" s="1230" t="n"/>
      <c r="AJ39" s="1231">
        <f>AK39-AI39</f>
        <v/>
      </c>
      <c r="AK39" s="1025" t="n">
        <v>20000000</v>
      </c>
      <c r="AL39" s="1026">
        <f>R39-AK39</f>
        <v/>
      </c>
      <c r="AM39" s="457">
        <f>R39/AK39-1</f>
        <v/>
      </c>
      <c r="AN39" s="1232">
        <f>AI39/12*$A$1</f>
        <v/>
      </c>
      <c r="AO39" s="1232">
        <f>AJ39/12*$A$1</f>
        <v/>
      </c>
      <c r="AP39" s="1025">
        <f>AO39+AN39</f>
        <v/>
      </c>
      <c r="AQ39" s="1026">
        <f>R39-AP39</f>
        <v/>
      </c>
      <c r="AR39" s="461">
        <f>R39/AP39-1</f>
        <v/>
      </c>
      <c r="AS39" s="1233" t="n"/>
      <c r="AT39" s="1234" t="n">
        <v>45000000</v>
      </c>
      <c r="AU39" s="1025">
        <f>AT39+AS39</f>
        <v/>
      </c>
      <c r="AV39" s="1026">
        <f>AU39-Z39</f>
        <v/>
      </c>
      <c r="AW39" s="508">
        <f>AU39/Z39-1</f>
        <v/>
      </c>
      <c r="AX39" s="1233">
        <f>BC39/12*$A$1</f>
        <v/>
      </c>
      <c r="AY39" s="1234">
        <f>BD39/12*$A$1</f>
        <v/>
      </c>
      <c r="AZ39" s="1025">
        <f>AY39+AX39</f>
        <v/>
      </c>
      <c r="BA39" s="1026">
        <f>$R39-AZ39</f>
        <v/>
      </c>
      <c r="BB39" s="533">
        <f>$R39/AZ39-1</f>
        <v/>
      </c>
      <c r="BC39" s="1233" t="n"/>
      <c r="BD39" s="1234" t="n">
        <v>75000000</v>
      </c>
      <c r="BE39" s="1025">
        <f>BD39+BC39</f>
        <v/>
      </c>
      <c r="BF39" s="1026">
        <f>$R39-BE39</f>
        <v/>
      </c>
      <c r="BG39" s="533">
        <f>$R39/BE39-1</f>
        <v/>
      </c>
    </row>
    <row r="40">
      <c r="A40" s="550" t="inlineStr">
        <is>
          <t>DOF SUBSEA</t>
        </is>
      </c>
      <c r="B40" s="1235">
        <f>Janvier!B40+Février!B40+Mars!B40+Avril!B40+Mai!B40+Juin!B40+Juillet!B40+Aout!B40+Septembre!B40+Octobre!B40+Novembre!B40+Décembre!B40</f>
        <v/>
      </c>
      <c r="C40" s="1236">
        <f>Janvier!C40+Février!C40+Mars!C40+Avril!C40+Mai!C40+Juin!C40+Juillet!C40+Aout!C40+Septembre!C40+Octobre!C40+Novembre!C40+Décembre!C40</f>
        <v/>
      </c>
      <c r="D40" s="1237">
        <f>Janvier!D40+Février!D40+Mars!D40+Avril!D40+Mai!D40+Juin!D40+Juillet!D40+Aout!D40+Septembre!D40+Octobre!D40+Novembre!D40+Décembre!D40</f>
        <v/>
      </c>
      <c r="E40" s="1238">
        <f>Janvier!E40+Février!E40+Mars!E40+Avril!E40+Mai!E40+Juin!E40+Juillet!E40+Aout!E40+Septembre!E40+Octobre!E40+Novembre!E40+Décembre!E40</f>
        <v/>
      </c>
      <c r="F40" s="1089">
        <f>Janvier!F40+Février!F40+Mars!F40+Avril!F40+Mai!F40+Juin!F40+Juillet!F40+Aout!F40+Septembre!F40+Octobre!F40+Novembre!F40+Décembre!F40</f>
        <v/>
      </c>
      <c r="G40" s="1239">
        <f>Janvier!G40+Février!G40+Mars!G40+Avril!G40+Mai!G40+Juin!G40+Juillet!G40+Aout!G40+Septembre!G40+Octobre!G40+Novembre!G40+Décembre!G40</f>
        <v/>
      </c>
      <c r="H40" s="1239">
        <f>Janvier!H40+Février!H40+Mars!H40+Avril!H40+Mai!H40+Juin!H40+Juillet!H40+Aout!H40+Septembre!H40+Octobre!H40+Novembre!H40+Décembre!H40</f>
        <v/>
      </c>
      <c r="I40" s="1089">
        <f>Janvier!I40+Février!I40+Mars!I40+Avril!I40+Mai!I40+Juin!I40+Juillet!I40+Aout!I40+Septembre!I40+Octobre!I40+Novembre!I40+Décembre!I40</f>
        <v/>
      </c>
      <c r="J40" s="1089">
        <f>Janvier!J40+Février!J40+Mars!J40+Avril!J40+Mai!J40+Juin!J40+Juillet!J40+Aout!J40+Septembre!J40+Octobre!J40+Novembre!J40+Décembre!J40</f>
        <v/>
      </c>
      <c r="K40" s="1097" t="n"/>
      <c r="L40" s="1240">
        <f>SUM(E40:F40,I40:K40)</f>
        <v/>
      </c>
      <c r="M40" s="1222">
        <f>L40+D40</f>
        <v/>
      </c>
      <c r="N40" s="1223">
        <f>M40/655.957</f>
        <v/>
      </c>
      <c r="O40" s="445">
        <f>A40</f>
        <v/>
      </c>
      <c r="P40" s="1224">
        <f>B40</f>
        <v/>
      </c>
      <c r="Q40" s="1224">
        <f>C40</f>
        <v/>
      </c>
      <c r="R40" s="1225">
        <f>D40</f>
        <v/>
      </c>
      <c r="S40" s="1226">
        <f>X40/12*$A$1</f>
        <v/>
      </c>
      <c r="T40" s="1226">
        <f>Y40/12*$A$1</f>
        <v/>
      </c>
      <c r="U40" s="1025" t="n">
        <v>0</v>
      </c>
      <c r="V40" s="1026">
        <f>$R40-U40</f>
        <v/>
      </c>
      <c r="W40" s="678">
        <f>R40/U40-1</f>
        <v/>
      </c>
      <c r="X40" s="1227" t="n"/>
      <c r="Y40" s="1227" t="n"/>
      <c r="Z40" s="1025">
        <f>Y40+X40</f>
        <v/>
      </c>
      <c r="AA40" s="1026">
        <f>R40-Z40</f>
        <v/>
      </c>
      <c r="AB40" s="678">
        <f>R40/Z40-1</f>
        <v/>
      </c>
      <c r="AC40" s="314">
        <f>Z40/$Z$57</f>
        <v/>
      </c>
      <c r="AD40" s="1228" t="n"/>
      <c r="AE40" s="1229">
        <f>AF40-AD40</f>
        <v/>
      </c>
      <c r="AF40" s="1025" t="n">
        <v>1500000</v>
      </c>
      <c r="AG40" s="1026">
        <f>R40-AF40</f>
        <v/>
      </c>
      <c r="AH40" s="411">
        <f>R40/AF40-1</f>
        <v/>
      </c>
      <c r="AI40" s="1230" t="n"/>
      <c r="AJ40" s="1231">
        <f>AK40-AI40</f>
        <v/>
      </c>
      <c r="AK40" s="1025" t="n">
        <v>1500000</v>
      </c>
      <c r="AL40" s="1026">
        <f>R40-AK40</f>
        <v/>
      </c>
      <c r="AM40" s="411">
        <f>R40/AK40-1</f>
        <v/>
      </c>
      <c r="AN40" s="1232">
        <f>AI40/12*$A$1</f>
        <v/>
      </c>
      <c r="AO40" s="1232">
        <f>AJ40/12*$A$1</f>
        <v/>
      </c>
      <c r="AP40" s="1025">
        <f>AO40+AN40</f>
        <v/>
      </c>
      <c r="AQ40" s="1026">
        <f>R40-AP40</f>
        <v/>
      </c>
      <c r="AR40" s="411">
        <f>R40/AP40-1</f>
        <v/>
      </c>
      <c r="AS40" s="1233" t="n"/>
      <c r="AT40" s="1234" t="n">
        <v>8000000</v>
      </c>
      <c r="AU40" s="1025">
        <f>AT40+AS40</f>
        <v/>
      </c>
      <c r="AV40" s="1026">
        <f>AU40-Z40</f>
        <v/>
      </c>
      <c r="AW40" s="508">
        <f>AU40/Z40-1</f>
        <v/>
      </c>
      <c r="AX40" s="1233">
        <f>BC40/12*$A$1</f>
        <v/>
      </c>
      <c r="AY40" s="1234">
        <f>BD40/12*$A$1</f>
        <v/>
      </c>
      <c r="AZ40" s="1025">
        <f>AY40+AX40</f>
        <v/>
      </c>
      <c r="BA40" s="1026">
        <f>$R40-AZ40</f>
        <v/>
      </c>
      <c r="BB40" s="533">
        <f>$R40/AZ40-1</f>
        <v/>
      </c>
      <c r="BC40" s="1233" t="n"/>
      <c r="BD40" s="1234" t="n">
        <v>8000000</v>
      </c>
      <c r="BE40" s="1025">
        <f>BD40+BC40</f>
        <v/>
      </c>
      <c r="BF40" s="1026">
        <f>$R40-BE40</f>
        <v/>
      </c>
      <c r="BG40" s="508">
        <f>$R40/BE40-1</f>
        <v/>
      </c>
    </row>
    <row r="41">
      <c r="A41" s="694" t="inlineStr">
        <is>
          <t>ICM COTE D'IVOIRE P/C TRANSOCEAN</t>
        </is>
      </c>
      <c r="B41" s="1235">
        <f>Janvier!B41+Février!B41+Mars!B41+Avril!B41+Mai!B41+Juin!B41+Juillet!B41+Aout!B41+Septembre!B41+Octobre!B41+Novembre!B41+Décembre!B41</f>
        <v/>
      </c>
      <c r="C41" s="1236">
        <f>Janvier!C41+Février!C41+Mars!C41+Avril!C41+Mai!C41+Juin!C41+Juillet!C41+Aout!C41+Septembre!C41+Octobre!C41+Novembre!C41+Décembre!C41</f>
        <v/>
      </c>
      <c r="D41" s="1237">
        <f>Janvier!D41+Février!D41+Mars!D41+Avril!D41+Mai!D41+Juin!D41+Juillet!D41+Aout!D41+Septembre!D41+Octobre!D41+Novembre!D41+Décembre!D41</f>
        <v/>
      </c>
      <c r="E41" s="1238">
        <f>Janvier!E41+Février!E41+Mars!E41+Avril!E41+Mai!E41+Juin!E41+Juillet!E41+Aout!E41+Septembre!E41+Octobre!E41+Novembre!E41+Décembre!E41</f>
        <v/>
      </c>
      <c r="F41" s="1089">
        <f>Janvier!F41+Février!F41+Mars!F41+Avril!F41+Mai!F41+Juin!F41+Juillet!F41+Aout!F41+Septembre!F41+Octobre!F41+Novembre!F41+Décembre!F41</f>
        <v/>
      </c>
      <c r="G41" s="1239">
        <f>Janvier!G41+Février!G41+Mars!G41+Avril!G41+Mai!G41+Juin!G41+Juillet!G41+Aout!G41+Septembre!G41+Octobre!G41+Novembre!G41+Décembre!G41</f>
        <v/>
      </c>
      <c r="H41" s="1239">
        <f>Janvier!H41+Février!H41+Mars!H41+Avril!H41+Mai!H41+Juin!H41+Juillet!H41+Aout!H41+Septembre!H41+Octobre!H41+Novembre!H41+Décembre!H41</f>
        <v/>
      </c>
      <c r="I41" s="1089">
        <f>Janvier!I41+Février!I41+Mars!I41+Avril!I41+Mai!I41+Juin!I41+Juillet!I41+Aout!I41+Septembre!I41+Octobre!I41+Novembre!I41+Décembre!I41</f>
        <v/>
      </c>
      <c r="J41" s="1089">
        <f>Janvier!J41+Février!J41+Mars!J41+Avril!J41+Mai!J41+Juin!J41+Juillet!J41+Aout!J41+Septembre!J41+Octobre!J41+Novembre!J41+Décembre!J41</f>
        <v/>
      </c>
      <c r="K41" s="1097" t="n"/>
      <c r="L41" s="1240">
        <f>SUM(E41:F41,I41:K41)</f>
        <v/>
      </c>
      <c r="M41" s="1222">
        <f>L41+D41</f>
        <v/>
      </c>
      <c r="N41" s="1223">
        <f>M41/655.957</f>
        <v/>
      </c>
      <c r="O41" s="445">
        <f>A41</f>
        <v/>
      </c>
      <c r="P41" s="1224">
        <f>B41</f>
        <v/>
      </c>
      <c r="Q41" s="1224">
        <f>C41</f>
        <v/>
      </c>
      <c r="R41" s="1225">
        <f>D41</f>
        <v/>
      </c>
      <c r="S41" s="1226">
        <f>X41/12*$A$1</f>
        <v/>
      </c>
      <c r="T41" s="1226">
        <f>Y41/12*$A$1</f>
        <v/>
      </c>
      <c r="U41" s="1025" t="n">
        <v>0</v>
      </c>
      <c r="V41" s="1026">
        <f>$R41-U41</f>
        <v/>
      </c>
      <c r="W41" s="678">
        <f>R41/U41-1</f>
        <v/>
      </c>
      <c r="X41" s="1227" t="n"/>
      <c r="Y41" s="1227" t="n"/>
      <c r="Z41" s="1025">
        <f>Y41+X41</f>
        <v/>
      </c>
      <c r="AA41" s="1026">
        <f>R41-Z41</f>
        <v/>
      </c>
      <c r="AB41" s="678">
        <f>R41/Z41-1</f>
        <v/>
      </c>
      <c r="AC41" s="314">
        <f>Z41/$Z$57</f>
        <v/>
      </c>
      <c r="AD41" s="1228" t="n"/>
      <c r="AE41" s="1229">
        <f>AF41-AD41</f>
        <v/>
      </c>
      <c r="AF41" s="1025" t="n">
        <v>0</v>
      </c>
      <c r="AG41" s="1026">
        <f>R41-AF41</f>
        <v/>
      </c>
      <c r="AH41" s="411">
        <f>R41/AF41-1</f>
        <v/>
      </c>
      <c r="AI41" s="1230" t="n"/>
      <c r="AJ41" s="1231">
        <f>AK41-AI41</f>
        <v/>
      </c>
      <c r="AK41" s="1025" t="n">
        <v>0</v>
      </c>
      <c r="AL41" s="1026">
        <f>R41-AK41</f>
        <v/>
      </c>
      <c r="AM41" s="411" t="n">
        <v>0</v>
      </c>
      <c r="AN41" s="1232">
        <f>AI41/12*$A$1</f>
        <v/>
      </c>
      <c r="AO41" s="1232">
        <f>AJ41/12*$A$1</f>
        <v/>
      </c>
      <c r="AP41" s="1025">
        <f>AO41+AN41</f>
        <v/>
      </c>
      <c r="AQ41" s="1026">
        <f>R41-AP41</f>
        <v/>
      </c>
      <c r="AR41" s="411" t="n">
        <v>0</v>
      </c>
      <c r="AS41" s="1233" t="n"/>
      <c r="AT41" s="1234" t="n"/>
      <c r="AU41" s="1025">
        <f>AT41+AS41</f>
        <v/>
      </c>
      <c r="AV41" s="1026">
        <f>AU41-Z41</f>
        <v/>
      </c>
      <c r="AW41" s="508">
        <f>AU41/Z41-1</f>
        <v/>
      </c>
      <c r="AX41" s="1233">
        <f>BC41/12*$A$1</f>
        <v/>
      </c>
      <c r="AY41" s="1234">
        <f>BD41/12*$A$1</f>
        <v/>
      </c>
      <c r="AZ41" s="1025">
        <f>AY41+AX41</f>
        <v/>
      </c>
      <c r="BA41" s="1026">
        <f>$R41-AZ41</f>
        <v/>
      </c>
      <c r="BB41" s="508">
        <f>$R41/AZ41-1</f>
        <v/>
      </c>
      <c r="BC41" s="1233" t="n"/>
      <c r="BD41" s="1234" t="n"/>
      <c r="BE41" s="1025">
        <f>BD41+BC41</f>
        <v/>
      </c>
      <c r="BF41" s="1026">
        <f>$R41-BE41</f>
        <v/>
      </c>
      <c r="BG41" s="508">
        <f>$R41/BE41-1</f>
        <v/>
      </c>
    </row>
    <row r="42">
      <c r="A42" s="550" t="inlineStr">
        <is>
          <t>SUBTEC</t>
        </is>
      </c>
      <c r="B42" s="1235">
        <f>Janvier!B42+Février!B42+Mars!B42+Avril!B42+Mai!B42+Juin!B42+Juillet!B42+Aout!B42+Septembre!B42+Octobre!B42+Novembre!B42+Décembre!B42</f>
        <v/>
      </c>
      <c r="C42" s="1236">
        <f>Janvier!C42+Février!C42+Mars!C42+Avril!C42+Mai!C42+Juin!C42+Juillet!C42+Aout!C42+Septembre!C42+Octobre!C42+Novembre!C42+Décembre!C42</f>
        <v/>
      </c>
      <c r="D42" s="1237">
        <f>Janvier!D42+Février!D42+Mars!D42+Avril!D42+Mai!D42+Juin!D42+Juillet!D42+Aout!D42+Septembre!D42+Octobre!D42+Novembre!D42+Décembre!D42</f>
        <v/>
      </c>
      <c r="E42" s="1238">
        <f>Janvier!E42+Février!E42+Mars!E42+Avril!E42+Mai!E42+Juin!E42+Juillet!E42+Aout!E42+Septembre!E42+Octobre!E42+Novembre!E42+Décembre!E42</f>
        <v/>
      </c>
      <c r="F42" s="1089">
        <f>Janvier!F42+Février!F42+Mars!F42+Avril!F42+Mai!F42+Juin!F42+Juillet!F42+Aout!F42+Septembre!F42+Octobre!F42+Novembre!F42+Décembre!F42</f>
        <v/>
      </c>
      <c r="G42" s="1239">
        <f>Janvier!G42+Février!G42+Mars!G42+Avril!G42+Mai!G42+Juin!G42+Juillet!G42+Aout!G42+Septembre!G42+Octobre!G42+Novembre!G42+Décembre!G42</f>
        <v/>
      </c>
      <c r="H42" s="1239">
        <f>Janvier!H42+Février!H42+Mars!H42+Avril!H42+Mai!H42+Juin!H42+Juillet!H42+Aout!H42+Septembre!H42+Octobre!H42+Novembre!H42+Décembre!H42</f>
        <v/>
      </c>
      <c r="I42" s="1089">
        <f>Janvier!I42+Février!I42+Mars!I42+Avril!I42+Mai!I42+Juin!I42+Juillet!I42+Aout!I42+Septembre!I42+Octobre!I42+Novembre!I42+Décembre!I42</f>
        <v/>
      </c>
      <c r="J42" s="1089">
        <f>Janvier!J42+Février!J42+Mars!J42+Avril!J42+Mai!J42+Juin!J42+Juillet!J42+Aout!J42+Septembre!J42+Octobre!J42+Novembre!J42+Décembre!J42</f>
        <v/>
      </c>
      <c r="K42" s="1097" t="n"/>
      <c r="L42" s="1240">
        <f>SUM(E42:F42,I42:K42)</f>
        <v/>
      </c>
      <c r="M42" s="1222">
        <f>L42+D42</f>
        <v/>
      </c>
      <c r="N42" s="1223">
        <f>M42/655.957</f>
        <v/>
      </c>
      <c r="O42" s="445">
        <f>A42</f>
        <v/>
      </c>
      <c r="P42" s="1224">
        <f>B42</f>
        <v/>
      </c>
      <c r="Q42" s="1224">
        <f>C42</f>
        <v/>
      </c>
      <c r="R42" s="1225">
        <f>D42</f>
        <v/>
      </c>
      <c r="S42" s="1226">
        <f>X42/12*$A$1</f>
        <v/>
      </c>
      <c r="T42" s="1226">
        <f>Y42/12*$A$1</f>
        <v/>
      </c>
      <c r="U42" s="1025" t="n">
        <v>765000</v>
      </c>
      <c r="V42" s="1026">
        <f>$R42-U42</f>
        <v/>
      </c>
      <c r="W42" s="678">
        <f>R42/U42-1</f>
        <v/>
      </c>
      <c r="X42" s="1227" t="n">
        <v>9165000</v>
      </c>
      <c r="Y42" s="1227" t="n">
        <v>3000000</v>
      </c>
      <c r="Z42" s="1025">
        <f>Y42+X42</f>
        <v/>
      </c>
      <c r="AA42" s="1026">
        <f>R42-Z42</f>
        <v/>
      </c>
      <c r="AB42" s="678">
        <f>R42/Z42-1</f>
        <v/>
      </c>
      <c r="AC42" s="314">
        <f>Z42/$Z$57</f>
        <v/>
      </c>
      <c r="AD42" s="1228" t="n">
        <v>12000000</v>
      </c>
      <c r="AE42" s="1229">
        <f>AF42-AD42</f>
        <v/>
      </c>
      <c r="AF42" s="1025" t="n">
        <v>15000000</v>
      </c>
      <c r="AG42" s="1026">
        <f>R42-AF42</f>
        <v/>
      </c>
      <c r="AH42" s="461">
        <f>R42/AF42-1</f>
        <v/>
      </c>
      <c r="AI42" s="1230" t="n">
        <v>12000000</v>
      </c>
      <c r="AJ42" s="1231">
        <f>AK42-AI42</f>
        <v/>
      </c>
      <c r="AK42" s="1025" t="n">
        <v>15000000</v>
      </c>
      <c r="AL42" s="1026">
        <f>R42-AK42</f>
        <v/>
      </c>
      <c r="AM42" s="457">
        <f>R42/AK42-1</f>
        <v/>
      </c>
      <c r="AN42" s="1232">
        <f>AI42/12*$A$1</f>
        <v/>
      </c>
      <c r="AO42" s="1232">
        <f>AJ42/12*$A$1</f>
        <v/>
      </c>
      <c r="AP42" s="1025">
        <f>AO42+AN42</f>
        <v/>
      </c>
      <c r="AQ42" s="1026">
        <f>R42-AP42</f>
        <v/>
      </c>
      <c r="AR42" s="461">
        <f>R42/AP42-1</f>
        <v/>
      </c>
      <c r="AS42" s="1233" t="n">
        <v>9165000</v>
      </c>
      <c r="AT42" s="1234" t="n">
        <v>3500000</v>
      </c>
      <c r="AU42" s="1025">
        <f>AT42+AS42</f>
        <v/>
      </c>
      <c r="AV42" s="1026">
        <f>AU42-Z42</f>
        <v/>
      </c>
      <c r="AW42" s="508">
        <f>AU42/Z42-1</f>
        <v/>
      </c>
      <c r="AX42" s="1233">
        <f>BC42/12*$A$1</f>
        <v/>
      </c>
      <c r="AY42" s="1234">
        <f>BD42/12*$A$1</f>
        <v/>
      </c>
      <c r="AZ42" s="1025">
        <f>AY42+AX42</f>
        <v/>
      </c>
      <c r="BA42" s="1026">
        <f>$R42-AZ42</f>
        <v/>
      </c>
      <c r="BB42" s="533">
        <f>$R42/AZ42-1</f>
        <v/>
      </c>
      <c r="BC42" s="1233" t="n">
        <v>9165000</v>
      </c>
      <c r="BD42" s="1234" t="n">
        <v>5000000</v>
      </c>
      <c r="BE42" s="1025">
        <f>BD42+BC42</f>
        <v/>
      </c>
      <c r="BF42" s="1026">
        <f>$R42-BE42</f>
        <v/>
      </c>
      <c r="BG42" s="533">
        <f>$R42/BE42-1</f>
        <v/>
      </c>
    </row>
    <row r="43">
      <c r="A43" s="550" t="inlineStr">
        <is>
          <t>SAPURA DRILLING HOLDING</t>
        </is>
      </c>
      <c r="B43" s="1235">
        <f>Janvier!B43+Février!B43+Mars!B43+Avril!B43+Mai!B43+Juin!B43+Juillet!B43+Aout!B43+Septembre!B43+Octobre!B43+Novembre!B43+Décembre!B43</f>
        <v/>
      </c>
      <c r="C43" s="1236">
        <f>Janvier!C43+Février!C43+Mars!C43+Avril!C43+Mai!C43+Juin!C43+Juillet!C43+Aout!C43+Septembre!C43+Octobre!C43+Novembre!C43+Décembre!C43</f>
        <v/>
      </c>
      <c r="D43" s="1237">
        <f>Janvier!D43+Février!D43+Mars!D43+Avril!D43+Mai!D43+Juin!D43+Juillet!D43+Aout!D43+Septembre!D43+Octobre!D43+Novembre!D43+Décembre!D43</f>
        <v/>
      </c>
      <c r="E43" s="1238">
        <f>Janvier!E43+Février!E43+Mars!E43+Avril!E43+Mai!E43+Juin!E43+Juillet!E43+Aout!E43+Septembre!E43+Octobre!E43+Novembre!E43+Décembre!E43</f>
        <v/>
      </c>
      <c r="F43" s="1089">
        <f>Janvier!F43+Février!F43+Mars!F43+Avril!F43+Mai!F43+Juin!F43+Juillet!F43+Aout!F43+Septembre!F43+Octobre!F43+Novembre!F43+Décembre!F43</f>
        <v/>
      </c>
      <c r="G43" s="1239">
        <f>Janvier!G43+Février!G43+Mars!G43+Avril!G43+Mai!G43+Juin!G43+Juillet!G43+Aout!G43+Septembre!G43+Octobre!G43+Novembre!G43+Décembre!G43</f>
        <v/>
      </c>
      <c r="H43" s="1239">
        <f>Janvier!H43+Février!H43+Mars!H43+Avril!H43+Mai!H43+Juin!H43+Juillet!H43+Aout!H43+Septembre!H43+Octobre!H43+Novembre!H43+Décembre!H43</f>
        <v/>
      </c>
      <c r="I43" s="1089">
        <f>Janvier!I43+Février!I43+Mars!I43+Avril!I43+Mai!I43+Juin!I43+Juillet!I43+Aout!I43+Septembre!I43+Octobre!I43+Novembre!I43+Décembre!I43</f>
        <v/>
      </c>
      <c r="J43" s="1089">
        <f>Janvier!J43+Février!J43+Mars!J43+Avril!J43+Mai!J43+Juin!J43+Juillet!J43+Aout!J43+Septembre!J43+Octobre!J43+Novembre!J43+Décembre!J43</f>
        <v/>
      </c>
      <c r="K43" s="1097" t="n"/>
      <c r="L43" s="1240">
        <f>SUM(E43:F43,I43:K43)</f>
        <v/>
      </c>
      <c r="M43" s="1222">
        <f>L43+D43</f>
        <v/>
      </c>
      <c r="N43" s="1223">
        <f>M43/655.957</f>
        <v/>
      </c>
      <c r="O43" s="445">
        <f>A43</f>
        <v/>
      </c>
      <c r="P43" s="1224">
        <f>B43</f>
        <v/>
      </c>
      <c r="Q43" s="1224">
        <f>C43</f>
        <v/>
      </c>
      <c r="R43" s="1225">
        <f>D43</f>
        <v/>
      </c>
      <c r="S43" s="1226">
        <f>X43/12*$A$1</f>
        <v/>
      </c>
      <c r="T43" s="1226">
        <f>Y43/12*$A$1</f>
        <v/>
      </c>
      <c r="U43" s="1025" t="n">
        <v>0</v>
      </c>
      <c r="V43" s="1026">
        <f>$R43-U43</f>
        <v/>
      </c>
      <c r="W43" s="678">
        <f>R43/U43-1</f>
        <v/>
      </c>
      <c r="X43" s="1227" t="n"/>
      <c r="Y43" s="1227" t="n"/>
      <c r="Z43" s="1025">
        <f>Y43+X43</f>
        <v/>
      </c>
      <c r="AA43" s="1026">
        <f>R43-Z43</f>
        <v/>
      </c>
      <c r="AB43" s="678">
        <f>R43/Z43-1</f>
        <v/>
      </c>
      <c r="AC43" s="314">
        <f>Z43/$Z$57</f>
        <v/>
      </c>
      <c r="AD43" s="1228" t="n"/>
      <c r="AE43" s="1229">
        <f>AF43-AD43</f>
        <v/>
      </c>
      <c r="AF43" s="1025">
        <f>AC43*4901000000</f>
        <v/>
      </c>
      <c r="AG43" s="1026">
        <f>R43-AF43</f>
        <v/>
      </c>
      <c r="AH43" s="411">
        <f>R43/AF43-1</f>
        <v/>
      </c>
      <c r="AI43" s="1230" t="n"/>
      <c r="AJ43" s="1231">
        <f>AK43-AI43</f>
        <v/>
      </c>
      <c r="AK43" s="1025" t="n">
        <v>0</v>
      </c>
      <c r="AL43" s="1026">
        <f>R43-AK43</f>
        <v/>
      </c>
      <c r="AM43" s="411" t="n">
        <v>0</v>
      </c>
      <c r="AN43" s="1232">
        <f>AI43/12*$A$1</f>
        <v/>
      </c>
      <c r="AO43" s="1232">
        <f>AJ43/12*$A$1</f>
        <v/>
      </c>
      <c r="AP43" s="1025">
        <f>AO43+AN43</f>
        <v/>
      </c>
      <c r="AQ43" s="1026">
        <f>R43-AP43</f>
        <v/>
      </c>
      <c r="AR43" s="411" t="n">
        <v>0</v>
      </c>
      <c r="AS43" s="1233" t="n"/>
      <c r="AT43" s="1234" t="n"/>
      <c r="AU43" s="1025">
        <f>AT43+AS43</f>
        <v/>
      </c>
      <c r="AV43" s="1026">
        <f>AU43-Z43</f>
        <v/>
      </c>
      <c r="AW43" s="508">
        <f>AU43/Z43-1</f>
        <v/>
      </c>
      <c r="AX43" s="1233">
        <f>BC43/12*$A$1</f>
        <v/>
      </c>
      <c r="AY43" s="1234">
        <f>BD43/12*$A$1</f>
        <v/>
      </c>
      <c r="AZ43" s="1025">
        <f>AY43+AX43</f>
        <v/>
      </c>
      <c r="BA43" s="1026">
        <f>$R43-AZ43</f>
        <v/>
      </c>
      <c r="BB43" s="508">
        <f>$R43/AZ43-1</f>
        <v/>
      </c>
      <c r="BC43" s="1233" t="n"/>
      <c r="BD43" s="1234" t="n"/>
      <c r="BE43" s="1025">
        <f>BD43+BC43</f>
        <v/>
      </c>
      <c r="BF43" s="1026">
        <f>$R43-BE43</f>
        <v/>
      </c>
      <c r="BG43" s="508">
        <f>$R43/BE43-1</f>
        <v/>
      </c>
    </row>
    <row r="44" customFormat="1" s="5">
      <c r="A44" s="550" t="inlineStr">
        <is>
          <t>BOSKALIS</t>
        </is>
      </c>
      <c r="B44" s="1235">
        <f>Janvier!B44+Février!B44+Mars!B44+Avril!B44+Mai!B44+Juin!B44+Juillet!B44+Aout!B44+Septembre!B44+Octobre!B44+Novembre!B44+Décembre!B44</f>
        <v/>
      </c>
      <c r="C44" s="1236">
        <f>Janvier!C44+Février!C44+Mars!C44+Avril!C44+Mai!C44+Juin!C44+Juillet!C44+Aout!C44+Septembre!C44+Octobre!C44+Novembre!C44+Décembre!C44</f>
        <v/>
      </c>
      <c r="D44" s="1237">
        <f>Janvier!D44+Février!D44+Mars!D44+Avril!D44+Mai!D44+Juin!D44+Juillet!D44+Aout!D44+Septembre!D44+Octobre!D44+Novembre!D44+Décembre!D44</f>
        <v/>
      </c>
      <c r="E44" s="1238">
        <f>Janvier!E44+Février!E44+Mars!E44+Avril!E44+Mai!E44+Juin!E44+Juillet!E44+Aout!E44+Septembre!E44+Octobre!E44+Novembre!E44+Décembre!E44</f>
        <v/>
      </c>
      <c r="F44" s="1089">
        <f>Janvier!F44+Février!F44+Mars!F44+Avril!F44+Mai!F44+Juin!F44+Juillet!F44+Aout!F44+Septembre!F44+Octobre!F44+Novembre!F44+Décembre!F44</f>
        <v/>
      </c>
      <c r="G44" s="1239">
        <f>Janvier!G44+Février!G44+Mars!G44+Avril!G44+Mai!G44+Juin!G44+Juillet!G44+Aout!G44+Septembre!G44+Octobre!G44+Novembre!G44+Décembre!G44</f>
        <v/>
      </c>
      <c r="H44" s="1239">
        <f>Janvier!H44+Février!H44+Mars!H44+Avril!H44+Mai!H44+Juin!H44+Juillet!H44+Aout!H44+Septembre!H44+Octobre!H44+Novembre!H44+Décembre!H44</f>
        <v/>
      </c>
      <c r="I44" s="1089">
        <f>Janvier!I44+Février!I44+Mars!I44+Avril!I44+Mai!I44+Juin!I44+Juillet!I44+Aout!I44+Septembre!I44+Octobre!I44+Novembre!I44+Décembre!I44</f>
        <v/>
      </c>
      <c r="J44" s="1089">
        <f>Janvier!J44+Février!J44+Mars!J44+Avril!J44+Mai!J44+Juin!J44+Juillet!J44+Aout!J44+Septembre!J44+Octobre!J44+Novembre!J44+Décembre!J44</f>
        <v/>
      </c>
      <c r="K44" s="1097" t="n"/>
      <c r="L44" s="1240">
        <f>SUM(E44:F44,I44:K44)</f>
        <v/>
      </c>
      <c r="M44" s="1222">
        <f>L44+D44</f>
        <v/>
      </c>
      <c r="N44" s="1223">
        <f>M44/655.957</f>
        <v/>
      </c>
      <c r="O44" s="445">
        <f>A44</f>
        <v/>
      </c>
      <c r="P44" s="1224">
        <f>B44</f>
        <v/>
      </c>
      <c r="Q44" s="1224">
        <f>C44</f>
        <v/>
      </c>
      <c r="R44" s="1225">
        <f>D44</f>
        <v/>
      </c>
      <c r="S44" s="1226">
        <f>X44/12*$A$1</f>
        <v/>
      </c>
      <c r="T44" s="1226">
        <f>Y44/12*$A$1</f>
        <v/>
      </c>
      <c r="U44" s="1025" t="n">
        <v>0</v>
      </c>
      <c r="V44" s="1026">
        <f>$R44-U44</f>
        <v/>
      </c>
      <c r="W44" s="678">
        <f>R44/U44-1</f>
        <v/>
      </c>
      <c r="X44" s="1227" t="n"/>
      <c r="Y44" s="1227" t="n"/>
      <c r="Z44" s="1025">
        <f>Y44+X44</f>
        <v/>
      </c>
      <c r="AA44" s="1026">
        <f>R44-Z44</f>
        <v/>
      </c>
      <c r="AB44" s="678">
        <f>R44/Z44-1</f>
        <v/>
      </c>
      <c r="AC44" s="314">
        <f>Z44/$Z$57</f>
        <v/>
      </c>
      <c r="AD44" s="1228" t="n">
        <v>48000000</v>
      </c>
      <c r="AE44" s="1229">
        <f>AF44-AD44</f>
        <v/>
      </c>
      <c r="AF44" s="1025" t="n">
        <v>75000000</v>
      </c>
      <c r="AG44" s="1026">
        <f>R44-AF44</f>
        <v/>
      </c>
      <c r="AH44" s="461">
        <f>R44/AF44-1</f>
        <v/>
      </c>
      <c r="AI44" s="1230" t="n">
        <v>48000000</v>
      </c>
      <c r="AJ44" s="1231">
        <f>AK44-AI44</f>
        <v/>
      </c>
      <c r="AK44" s="1025" t="n">
        <v>80000000</v>
      </c>
      <c r="AL44" s="1026">
        <f>R44-AK44</f>
        <v/>
      </c>
      <c r="AM44" s="459">
        <f>R44/AK44-1</f>
        <v/>
      </c>
      <c r="AN44" s="1232">
        <f>AI44/12*$A$1</f>
        <v/>
      </c>
      <c r="AO44" s="1232">
        <f>AJ44/12*$A$1</f>
        <v/>
      </c>
      <c r="AP44" s="1025">
        <f>AO44+AN44</f>
        <v/>
      </c>
      <c r="AQ44" s="1026">
        <f>R44-AP44</f>
        <v/>
      </c>
      <c r="AR44" s="411">
        <f>R44/AP44-1</f>
        <v/>
      </c>
      <c r="AS44" s="1233" t="n">
        <v>18000000</v>
      </c>
      <c r="AT44" s="1234" t="n">
        <v>18000000</v>
      </c>
      <c r="AU44" s="1025">
        <f>AT44+AS44</f>
        <v/>
      </c>
      <c r="AV44" s="1026">
        <f>AU44-Z44</f>
        <v/>
      </c>
      <c r="AW44" s="508">
        <f>AU44/Z44-1</f>
        <v/>
      </c>
      <c r="AX44" s="1233">
        <f>BC44/12*$A$1</f>
        <v/>
      </c>
      <c r="AY44" s="1234">
        <f>BD44/12*$A$1</f>
        <v/>
      </c>
      <c r="AZ44" s="1025">
        <f>AY44+AX44</f>
        <v/>
      </c>
      <c r="BA44" s="1026">
        <f>$R44-AZ44</f>
        <v/>
      </c>
      <c r="BB44" s="502">
        <f>$R44/AZ44-1</f>
        <v/>
      </c>
      <c r="BC44" s="1233" t="n">
        <v>12350000</v>
      </c>
      <c r="BD44" s="1234" t="n">
        <v>20000000</v>
      </c>
      <c r="BE44" s="1025">
        <f>BD44+BC44</f>
        <v/>
      </c>
      <c r="BF44" s="1026">
        <f>$R44-BE44</f>
        <v/>
      </c>
      <c r="BG44" s="533">
        <f>$R44/BE44-1</f>
        <v/>
      </c>
    </row>
    <row r="45">
      <c r="A45" s="550" t="inlineStr">
        <is>
          <t>ENI COTE D'IVOIRE</t>
        </is>
      </c>
      <c r="B45" s="1235">
        <f>Janvier!B45+Février!B45+Mars!B45+Avril!B45+Mai!B45+Juin!B45+Juillet!B45+Aout!B45+Septembre!B45+Octobre!B45+Novembre!B45+Décembre!B45</f>
        <v/>
      </c>
      <c r="C45" s="1236">
        <f>Janvier!C45+Février!C45+Mars!C45+Avril!C45+Mai!C45+Juin!C45+Juillet!C45+Aout!C45+Septembre!C45+Octobre!C45+Novembre!C45+Décembre!C45</f>
        <v/>
      </c>
      <c r="D45" s="1237">
        <f>Janvier!D45+Février!D45+Mars!D45+Avril!D45+Mai!D45+Juin!D45+Juillet!D45+Aout!D45+Septembre!D45+Octobre!D45+Novembre!D45+Décembre!D45</f>
        <v/>
      </c>
      <c r="E45" s="1238">
        <f>Janvier!E45+Février!E45+Mars!E45+Avril!E45+Mai!E45+Juin!E45+Juillet!E45+Aout!E45+Septembre!E45+Octobre!E45+Novembre!E45+Décembre!E45</f>
        <v/>
      </c>
      <c r="F45" s="1089">
        <f>Janvier!F45+Février!F45+Mars!F45+Avril!F45+Mai!F45+Juin!F45+Juillet!F45+Aout!F45+Septembre!F45+Octobre!F45+Novembre!F45+Décembre!F45</f>
        <v/>
      </c>
      <c r="G45" s="1239">
        <f>Janvier!G45+Février!G45+Mars!G45+Avril!G45+Mai!G45+Juin!G45+Juillet!G45+Aout!G45+Septembre!G45+Octobre!G45+Novembre!G45+Décembre!G45</f>
        <v/>
      </c>
      <c r="H45" s="1239">
        <f>Janvier!H45+Février!H45+Mars!H45+Avril!H45+Mai!H45+Juin!H45+Juillet!H45+Aout!H45+Septembre!H45+Octobre!H45+Novembre!H45+Décembre!H45</f>
        <v/>
      </c>
      <c r="I45" s="1089">
        <f>Janvier!I45+Février!I45+Mars!I45+Avril!I45+Mai!I45+Juin!I45+Juillet!I45+Aout!I45+Septembre!I45+Octobre!I45+Novembre!I45+Décembre!I45</f>
        <v/>
      </c>
      <c r="J45" s="1089">
        <f>Janvier!J45+Février!J45+Mars!J45+Avril!J45+Mai!J45+Juin!J45+Juillet!J45+Aout!J45+Septembre!J45+Octobre!J45+Novembre!J45+Décembre!J45</f>
        <v/>
      </c>
      <c r="K45" s="1097" t="n"/>
      <c r="L45" s="1240">
        <f>SUM(E45:F45,I45:K45)</f>
        <v/>
      </c>
      <c r="M45" s="1222">
        <f>L45+D45</f>
        <v/>
      </c>
      <c r="N45" s="1223">
        <f>M45/655.957</f>
        <v/>
      </c>
      <c r="O45" s="445">
        <f>A45</f>
        <v/>
      </c>
      <c r="P45" s="1224">
        <f>B45</f>
        <v/>
      </c>
      <c r="Q45" s="1224">
        <f>C45</f>
        <v/>
      </c>
      <c r="R45" s="1225">
        <f>D45</f>
        <v/>
      </c>
      <c r="S45" s="1226">
        <f>X45/12*$A$1</f>
        <v/>
      </c>
      <c r="T45" s="1226">
        <f>Y45/12*$A$1</f>
        <v/>
      </c>
      <c r="U45" s="1025" t="n">
        <v>500000</v>
      </c>
      <c r="V45" s="1026">
        <f>$R45-U45</f>
        <v/>
      </c>
      <c r="W45" s="678">
        <f>R45/U45-1</f>
        <v/>
      </c>
      <c r="X45" s="1227" t="n">
        <v>0</v>
      </c>
      <c r="Y45" s="1227" t="n">
        <v>100000000</v>
      </c>
      <c r="Z45" s="1025">
        <f>Y45+X45</f>
        <v/>
      </c>
      <c r="AA45" s="1026">
        <f>R45-Z45</f>
        <v/>
      </c>
      <c r="AB45" s="678">
        <f>R45/Z45-1</f>
        <v/>
      </c>
      <c r="AC45" s="314">
        <f>Z45/$Z$57</f>
        <v/>
      </c>
      <c r="AD45" s="1228" t="n">
        <v>96992000</v>
      </c>
      <c r="AE45" s="1229">
        <f>AF45-AD45</f>
        <v/>
      </c>
      <c r="AF45" s="1025" t="n">
        <v>350000000</v>
      </c>
      <c r="AG45" s="1026">
        <f>R45-AF45</f>
        <v/>
      </c>
      <c r="AH45" s="461">
        <f>R45/AF45-1</f>
        <v/>
      </c>
      <c r="AI45" s="1230" t="n">
        <v>120000000</v>
      </c>
      <c r="AJ45" s="1231">
        <f>AK45-AI45</f>
        <v/>
      </c>
      <c r="AK45" s="1025" t="n">
        <v>240000000</v>
      </c>
      <c r="AL45" s="1026">
        <f>R45-AK45</f>
        <v/>
      </c>
      <c r="AM45" s="459">
        <f>R45/AK45-1</f>
        <v/>
      </c>
      <c r="AN45" s="1232">
        <f>AI45/12*$A$1</f>
        <v/>
      </c>
      <c r="AO45" s="1232">
        <f>AJ45/12*$A$1</f>
        <v/>
      </c>
      <c r="AP45" s="1025">
        <f>AO45+AN45</f>
        <v/>
      </c>
      <c r="AQ45" s="1026">
        <f>R45-AP45</f>
        <v/>
      </c>
      <c r="AR45" s="411">
        <f>R45/AP45-1</f>
        <v/>
      </c>
      <c r="AS45" s="1233" t="n">
        <v>120000000</v>
      </c>
      <c r="AT45" s="1234" t="n">
        <v>80000000</v>
      </c>
      <c r="AU45" s="1025">
        <f>AT45+AS45</f>
        <v/>
      </c>
      <c r="AV45" s="1026">
        <f>AU45-Z45</f>
        <v/>
      </c>
      <c r="AW45" s="508">
        <f>AU45/Z45-1</f>
        <v/>
      </c>
      <c r="AX45" s="1233">
        <f>BC45/12*$A$1</f>
        <v/>
      </c>
      <c r="AY45" s="1234">
        <f>BD45/12*$A$1</f>
        <v/>
      </c>
      <c r="AZ45" s="1025">
        <f>AY45+AX45</f>
        <v/>
      </c>
      <c r="BA45" s="1026">
        <f>$R45-AZ45</f>
        <v/>
      </c>
      <c r="BB45" s="533">
        <f>$R45/AZ45-1</f>
        <v/>
      </c>
      <c r="BC45" s="1233" t="n">
        <v>165000000</v>
      </c>
      <c r="BD45" s="1234" t="n">
        <v>120000000</v>
      </c>
      <c r="BE45" s="1025">
        <f>BD45+BC45</f>
        <v/>
      </c>
      <c r="BF45" s="1026">
        <f>$R45-BE45</f>
        <v/>
      </c>
      <c r="BG45" s="533">
        <f>$R45/BE45-1</f>
        <v/>
      </c>
    </row>
    <row r="46">
      <c r="A46" s="694" t="inlineStr">
        <is>
          <t>COMPAGNIE IVOIRIENNE D'INSPECTION</t>
        </is>
      </c>
      <c r="B46" s="1235">
        <f>Janvier!B46+Février!B46+Mars!B46+Avril!B46+Mai!B46+Juin!B46+Juillet!B46+Aout!B46+Septembre!B46+Octobre!B46+Novembre!B46+Décembre!B46</f>
        <v/>
      </c>
      <c r="C46" s="1236">
        <f>Janvier!C46+Février!C46+Mars!C46+Avril!C46+Mai!C46+Juin!C46+Juillet!C46+Aout!C46+Septembre!C46+Octobre!C46+Novembre!C46+Décembre!C46</f>
        <v/>
      </c>
      <c r="D46" s="1237">
        <f>Janvier!D46+Février!D46+Mars!D46+Avril!D46+Mai!D46+Juin!D46+Juillet!D46+Aout!D46+Septembre!D46+Octobre!D46+Novembre!D46+Décembre!D46</f>
        <v/>
      </c>
      <c r="E46" s="1238">
        <f>Janvier!E46+Février!E46+Mars!E46+Avril!E46+Mai!E46+Juin!E46+Juillet!E46+Aout!E46+Septembre!E46+Octobre!E46+Novembre!E46+Décembre!E46</f>
        <v/>
      </c>
      <c r="F46" s="1089">
        <f>Janvier!F46+Février!F46+Mars!F46+Avril!F46+Mai!F46+Juin!F46+Juillet!F46+Aout!F46+Septembre!F46+Octobre!F46+Novembre!F46+Décembre!F46</f>
        <v/>
      </c>
      <c r="G46" s="1239">
        <f>Janvier!G46+Février!G46+Mars!G46+Avril!G46+Mai!G46+Juin!G46+Juillet!G46+Aout!G46+Septembre!G46+Octobre!G46+Novembre!G46+Décembre!G46</f>
        <v/>
      </c>
      <c r="H46" s="1239">
        <f>Janvier!H46+Février!H46+Mars!H46+Avril!H46+Mai!H46+Juin!H46+Juillet!H46+Aout!H46+Septembre!H46+Octobre!H46+Novembre!H46+Décembre!H46</f>
        <v/>
      </c>
      <c r="I46" s="1089">
        <f>Janvier!I46+Février!I46+Mars!I46+Avril!I46+Mai!I46+Juin!I46+Juillet!I46+Aout!I46+Septembre!I46+Octobre!I46+Novembre!I46+Décembre!I46</f>
        <v/>
      </c>
      <c r="J46" s="1089">
        <f>Janvier!J46+Février!J46+Mars!J46+Avril!J46+Mai!J46+Juin!J46+Juillet!J46+Aout!J46+Septembre!J46+Octobre!J46+Novembre!J46+Décembre!J46</f>
        <v/>
      </c>
      <c r="K46" s="1097" t="n"/>
      <c r="L46" s="1240">
        <f>SUM(E46:F46,I46:K46)</f>
        <v/>
      </c>
      <c r="M46" s="1222">
        <f>L46+D46</f>
        <v/>
      </c>
      <c r="N46" s="1223">
        <f>M46/655.957</f>
        <v/>
      </c>
      <c r="O46" s="445">
        <f>A46</f>
        <v/>
      </c>
      <c r="P46" s="1224">
        <f>B46</f>
        <v/>
      </c>
      <c r="Q46" s="1224">
        <f>C46</f>
        <v/>
      </c>
      <c r="R46" s="1225">
        <f>D46</f>
        <v/>
      </c>
      <c r="S46" s="1226">
        <f>X46/12*$A$1</f>
        <v/>
      </c>
      <c r="T46" s="1226">
        <f>Y46/12*$A$1</f>
        <v/>
      </c>
      <c r="U46" s="1025" t="n">
        <v>0</v>
      </c>
      <c r="V46" s="1026">
        <f>$R46-U46</f>
        <v/>
      </c>
      <c r="W46" s="678">
        <f>R46/U46-1</f>
        <v/>
      </c>
      <c r="X46" s="1227" t="n"/>
      <c r="Y46" s="1227" t="n"/>
      <c r="Z46" s="1025">
        <f>Y46+X46</f>
        <v/>
      </c>
      <c r="AA46" s="1026">
        <f>R46-Z46</f>
        <v/>
      </c>
      <c r="AB46" s="678">
        <f>R46/Z46-1</f>
        <v/>
      </c>
      <c r="AC46" s="314">
        <f>Z46/$Z$57</f>
        <v/>
      </c>
      <c r="AD46" s="1228" t="n">
        <v>68000000</v>
      </c>
      <c r="AE46" s="1229">
        <f>AF46-AD46</f>
        <v/>
      </c>
      <c r="AF46" s="1025" t="n">
        <v>180000000</v>
      </c>
      <c r="AG46" s="1026">
        <f>R46-AF46</f>
        <v/>
      </c>
      <c r="AH46" s="461">
        <f>R46/AF46-1</f>
        <v/>
      </c>
      <c r="AI46" s="1230" t="n">
        <v>68000000</v>
      </c>
      <c r="AJ46" s="1231">
        <f>AK46-AI46</f>
        <v/>
      </c>
      <c r="AK46" s="1025" t="n">
        <v>177000000</v>
      </c>
      <c r="AL46" s="1026">
        <f>R46-AK46</f>
        <v/>
      </c>
      <c r="AM46" s="411">
        <f>R46/AK46-1</f>
        <v/>
      </c>
      <c r="AN46" s="1232">
        <f>AI46/12*$A$1</f>
        <v/>
      </c>
      <c r="AO46" s="1232">
        <f>AJ46/12*$A$1</f>
        <v/>
      </c>
      <c r="AP46" s="1025">
        <f>AO46+AN46</f>
        <v/>
      </c>
      <c r="AQ46" s="1026">
        <f>R46-AP46</f>
        <v/>
      </c>
      <c r="AR46" s="411">
        <f>R46/AP46-1</f>
        <v/>
      </c>
      <c r="AS46" s="1233" t="n"/>
      <c r="AT46" s="1234" t="n"/>
      <c r="AU46" s="1025">
        <f>AT46+AS46</f>
        <v/>
      </c>
      <c r="AV46" s="1026">
        <f>AU46-Z46</f>
        <v/>
      </c>
      <c r="AW46" s="508">
        <f>AU46/Z46-1</f>
        <v/>
      </c>
      <c r="AX46" s="1233">
        <f>BC46/12*$A$1</f>
        <v/>
      </c>
      <c r="AY46" s="1234">
        <f>BD46/12*$A$1</f>
        <v/>
      </c>
      <c r="AZ46" s="1025">
        <f>AY46+AX46</f>
        <v/>
      </c>
      <c r="BA46" s="1026">
        <f>$R46-AZ46</f>
        <v/>
      </c>
      <c r="BB46" s="508">
        <f>$R46/AZ46-1</f>
        <v/>
      </c>
      <c r="BC46" s="1233" t="n"/>
      <c r="BD46" s="1234" t="n"/>
      <c r="BE46" s="1025">
        <f>BD46+BC46</f>
        <v/>
      </c>
      <c r="BF46" s="1026">
        <f>$R46-BE46</f>
        <v/>
      </c>
      <c r="BG46" s="508">
        <f>$R46/BE46-1</f>
        <v/>
      </c>
    </row>
    <row r="47">
      <c r="A47" s="550" t="inlineStr">
        <is>
          <t>PETRO-SEA LOGISTICS</t>
        </is>
      </c>
      <c r="B47" s="1235">
        <f>Janvier!B47+Février!B47+Mars!B47+Avril!B47+Mai!B47+Juin!B47+Juillet!B47+Aout!B47+Septembre!B47+Octobre!B47+Novembre!B47+Décembre!B47</f>
        <v/>
      </c>
      <c r="C47" s="1236">
        <f>Janvier!C47+Février!C47+Mars!C47+Avril!C47+Mai!C47+Juin!C47+Juillet!C47+Aout!C47+Septembre!C47+Octobre!C47+Novembre!C47+Décembre!C47</f>
        <v/>
      </c>
      <c r="D47" s="1237">
        <f>Janvier!D47+Février!D47+Mars!D47+Avril!D47+Mai!D47+Juin!D47+Juillet!D47+Aout!D47+Septembre!D47+Octobre!D47+Novembre!D47+Décembre!D47</f>
        <v/>
      </c>
      <c r="E47" s="1238">
        <f>Janvier!E47+Février!E47+Mars!E47+Avril!E47+Mai!E47+Juin!E47+Juillet!E47+Aout!E47+Septembre!E47+Octobre!E47+Novembre!E47+Décembre!E47</f>
        <v/>
      </c>
      <c r="F47" s="1089">
        <f>Janvier!F47+Février!F47+Mars!F47+Avril!F47+Mai!F47+Juin!F47+Juillet!F47+Aout!F47+Septembre!F47+Octobre!F47+Novembre!F47+Décembre!F47</f>
        <v/>
      </c>
      <c r="G47" s="1239">
        <f>Janvier!G47+Février!G47+Mars!G47+Avril!G47+Mai!G47+Juin!G47+Juillet!G47+Aout!G47+Septembre!G47+Octobre!G47+Novembre!G47+Décembre!G47</f>
        <v/>
      </c>
      <c r="H47" s="1239">
        <f>Janvier!H47+Février!H47+Mars!H47+Avril!H47+Mai!H47+Juin!H47+Juillet!H47+Aout!H47+Septembre!H47+Octobre!H47+Novembre!H47+Décembre!H47</f>
        <v/>
      </c>
      <c r="I47" s="1089">
        <f>Janvier!I47+Février!I47+Mars!I47+Avril!I47+Mai!I47+Juin!I47+Juillet!I47+Aout!I47+Septembre!I47+Octobre!I47+Novembre!I47+Décembre!I47</f>
        <v/>
      </c>
      <c r="J47" s="1089">
        <f>Janvier!J47+Février!J47+Mars!J47+Avril!J47+Mai!J47+Juin!J47+Juillet!J47+Aout!J47+Septembre!J47+Octobre!J47+Novembre!J47+Décembre!J47</f>
        <v/>
      </c>
      <c r="K47" s="1097" t="n"/>
      <c r="L47" s="1240">
        <f>SUM(E47:F47,I47:K47)</f>
        <v/>
      </c>
      <c r="M47" s="1222">
        <f>L47+D47</f>
        <v/>
      </c>
      <c r="N47" s="1223">
        <f>M47/655.957</f>
        <v/>
      </c>
      <c r="O47" s="445">
        <f>A47</f>
        <v/>
      </c>
      <c r="P47" s="1224">
        <f>B47</f>
        <v/>
      </c>
      <c r="Q47" s="1224">
        <f>C47</f>
        <v/>
      </c>
      <c r="R47" s="1225">
        <f>D47</f>
        <v/>
      </c>
      <c r="S47" s="1226">
        <f>X47/12*$A$1</f>
        <v/>
      </c>
      <c r="T47" s="1226">
        <f>Y47/12*$A$1</f>
        <v/>
      </c>
      <c r="U47" s="1025" t="n">
        <v>0</v>
      </c>
      <c r="V47" s="1026">
        <f>$R47-U47</f>
        <v/>
      </c>
      <c r="W47" s="678">
        <f>R47/U47-1</f>
        <v/>
      </c>
      <c r="X47" s="1227" t="n"/>
      <c r="Y47" s="1227" t="n"/>
      <c r="Z47" s="1025">
        <f>Y47+X47</f>
        <v/>
      </c>
      <c r="AA47" s="1026">
        <f>R47-Z47</f>
        <v/>
      </c>
      <c r="AB47" s="678">
        <f>R47/Z47-1</f>
        <v/>
      </c>
      <c r="AC47" s="314">
        <f>Z47/$Z$57</f>
        <v/>
      </c>
      <c r="AD47" s="1228" t="n"/>
      <c r="AE47" s="1229">
        <f>AF47-AD47</f>
        <v/>
      </c>
      <c r="AF47" s="1025">
        <f>AC47*4901000000</f>
        <v/>
      </c>
      <c r="AG47" s="1026">
        <f>R47-AF47</f>
        <v/>
      </c>
      <c r="AH47" s="411">
        <f>R47/AF47-1</f>
        <v/>
      </c>
      <c r="AI47" s="1230" t="n"/>
      <c r="AJ47" s="1231">
        <f>AK47-AI47</f>
        <v/>
      </c>
      <c r="AK47" s="1025" t="n">
        <v>0</v>
      </c>
      <c r="AL47" s="1026">
        <f>R47-AK47</f>
        <v/>
      </c>
      <c r="AM47" s="411" t="n">
        <v>0</v>
      </c>
      <c r="AN47" s="1232">
        <f>AI47/12*$A$1</f>
        <v/>
      </c>
      <c r="AO47" s="1232">
        <f>AJ47/12*$A$1</f>
        <v/>
      </c>
      <c r="AP47" s="1025">
        <f>AO47+AN47</f>
        <v/>
      </c>
      <c r="AQ47" s="1026">
        <f>R47-AP47</f>
        <v/>
      </c>
      <c r="AR47" s="411" t="n">
        <v>0</v>
      </c>
      <c r="AS47" s="1233" t="n"/>
      <c r="AT47" s="1234" t="n"/>
      <c r="AU47" s="1025">
        <f>AT47+AS47</f>
        <v/>
      </c>
      <c r="AV47" s="1026">
        <f>AU47-Z47</f>
        <v/>
      </c>
      <c r="AW47" s="508">
        <f>AU47/Z47-1</f>
        <v/>
      </c>
      <c r="AX47" s="1233">
        <f>BC47/12*$A$1</f>
        <v/>
      </c>
      <c r="AY47" s="1234">
        <f>BD47/12*$A$1</f>
        <v/>
      </c>
      <c r="AZ47" s="1025">
        <f>AY47+AX47</f>
        <v/>
      </c>
      <c r="BA47" s="1026">
        <f>$R47-AZ47</f>
        <v/>
      </c>
      <c r="BB47" s="508">
        <f>$R47/AZ47-1</f>
        <v/>
      </c>
      <c r="BC47" s="1233" t="n"/>
      <c r="BD47" s="1234" t="n"/>
      <c r="BE47" s="1025">
        <f>BD47+BC47</f>
        <v/>
      </c>
      <c r="BF47" s="1026">
        <f>$R47-BE47</f>
        <v/>
      </c>
      <c r="BG47" s="508">
        <f>$R47/BE47-1</f>
        <v/>
      </c>
    </row>
    <row r="48">
      <c r="A48" s="550" t="inlineStr">
        <is>
          <t>OMASUP ENERGY</t>
        </is>
      </c>
      <c r="B48" s="1235">
        <f>Janvier!B48+Février!B48+Mars!B48+Avril!B48+Mai!B48+Juin!B48+Juillet!B48+Aout!B48+Septembre!B48+Octobre!B48+Novembre!B48+Décembre!B48</f>
        <v/>
      </c>
      <c r="C48" s="1236">
        <f>Janvier!C48+Février!C48+Mars!C48+Avril!C48+Mai!C48+Juin!C48+Juillet!C48+Aout!C48+Septembre!C48+Octobre!C48+Novembre!C48+Décembre!C48</f>
        <v/>
      </c>
      <c r="D48" s="1237">
        <f>Janvier!D48+Février!D48+Mars!D48+Avril!D48+Mai!D48+Juin!D48+Juillet!D48+Aout!D48+Septembre!D48+Octobre!D48+Novembre!D48+Décembre!D48</f>
        <v/>
      </c>
      <c r="E48" s="1238">
        <f>Janvier!E48+Février!E48+Mars!E48+Avril!E48+Mai!E48+Juin!E48+Juillet!E48+Aout!E48+Septembre!E48+Octobre!E48+Novembre!E48+Décembre!E48</f>
        <v/>
      </c>
      <c r="F48" s="1089">
        <f>Janvier!F48+Février!F48+Mars!F48+Avril!F48+Mai!F48+Juin!F48+Juillet!F48+Aout!F48+Septembre!F48+Octobre!F48+Novembre!F48+Décembre!F48</f>
        <v/>
      </c>
      <c r="G48" s="1239">
        <f>Janvier!G48+Février!G48+Mars!G48+Avril!G48+Mai!G48+Juin!G48+Juillet!G48+Aout!G48+Septembre!G48+Octobre!G48+Novembre!G48+Décembre!G48</f>
        <v/>
      </c>
      <c r="H48" s="1239">
        <f>Janvier!H48+Février!H48+Mars!H48+Avril!H48+Mai!H48+Juin!H48+Juillet!H48+Aout!H48+Septembre!H48+Octobre!H48+Novembre!H48+Décembre!H48</f>
        <v/>
      </c>
      <c r="I48" s="1089">
        <f>Janvier!I48+Février!I48+Mars!I48+Avril!I48+Mai!I48+Juin!I48+Juillet!I48+Aout!I48+Septembre!I48+Octobre!I48+Novembre!I48+Décembre!I48</f>
        <v/>
      </c>
      <c r="J48" s="1089">
        <f>Janvier!J48+Février!J48+Mars!J48+Avril!J48+Mai!J48+Juin!J48+Juillet!J48+Aout!J48+Septembre!J48+Octobre!J48+Novembre!J48+Décembre!J48</f>
        <v/>
      </c>
      <c r="K48" s="1097" t="n"/>
      <c r="L48" s="1240">
        <f>SUM(E48:F48,I48:K48)</f>
        <v/>
      </c>
      <c r="M48" s="1222">
        <f>L48+D48</f>
        <v/>
      </c>
      <c r="N48" s="1223">
        <f>M48/655.957</f>
        <v/>
      </c>
      <c r="O48" s="445">
        <f>A48</f>
        <v/>
      </c>
      <c r="P48" s="1224">
        <f>B48</f>
        <v/>
      </c>
      <c r="Q48" s="1224">
        <f>C48</f>
        <v/>
      </c>
      <c r="R48" s="1225">
        <f>D48</f>
        <v/>
      </c>
      <c r="S48" s="1226">
        <f>X48/12*$A$1</f>
        <v/>
      </c>
      <c r="T48" s="1226">
        <f>Y48/12*$A$1</f>
        <v/>
      </c>
      <c r="U48" s="1025" t="n">
        <v>290000</v>
      </c>
      <c r="V48" s="1026">
        <f>$R48-U48</f>
        <v/>
      </c>
      <c r="W48" s="678">
        <f>R48/U48-1</f>
        <v/>
      </c>
      <c r="X48" s="1227" t="n"/>
      <c r="Y48" s="1227" t="n"/>
      <c r="Z48" s="1025">
        <f>Y48+X48</f>
        <v/>
      </c>
      <c r="AA48" s="1026">
        <f>R48-Z48</f>
        <v/>
      </c>
      <c r="AB48" s="678">
        <f>R48/Z48-1</f>
        <v/>
      </c>
      <c r="AC48" s="314">
        <f>Z48/$Z$57</f>
        <v/>
      </c>
      <c r="AD48" s="1228" t="n"/>
      <c r="AE48" s="1229">
        <f>AF48-AD48</f>
        <v/>
      </c>
      <c r="AF48" s="1025">
        <f>AC48*4901000000</f>
        <v/>
      </c>
      <c r="AG48" s="1026">
        <f>R48-AF48</f>
        <v/>
      </c>
      <c r="AH48" s="411">
        <f>R48/AF48-1</f>
        <v/>
      </c>
      <c r="AI48" s="1230" t="n"/>
      <c r="AJ48" s="1231">
        <f>AK48-AI48</f>
        <v/>
      </c>
      <c r="AK48" s="1025" t="n">
        <v>0</v>
      </c>
      <c r="AL48" s="1026">
        <f>R48-AK48</f>
        <v/>
      </c>
      <c r="AM48" s="411" t="n">
        <v>0</v>
      </c>
      <c r="AN48" s="1232">
        <f>AI48/12*$A$1</f>
        <v/>
      </c>
      <c r="AO48" s="1232">
        <f>AJ48/12*$A$1</f>
        <v/>
      </c>
      <c r="AP48" s="1025">
        <f>AO48+AN48</f>
        <v/>
      </c>
      <c r="AQ48" s="1026">
        <f>R48-AP48</f>
        <v/>
      </c>
      <c r="AR48" s="411" t="n">
        <v>0</v>
      </c>
      <c r="AS48" s="1233" t="n"/>
      <c r="AT48" s="1234" t="n"/>
      <c r="AU48" s="1025">
        <f>AT48+AS48</f>
        <v/>
      </c>
      <c r="AV48" s="1026">
        <f>AU48-Z48</f>
        <v/>
      </c>
      <c r="AW48" s="508">
        <f>AU48/Z48-1</f>
        <v/>
      </c>
      <c r="AX48" s="1233">
        <f>BC48/12*$A$1</f>
        <v/>
      </c>
      <c r="AY48" s="1234">
        <f>BD48/12*$A$1</f>
        <v/>
      </c>
      <c r="AZ48" s="1025">
        <f>AY48+AX48</f>
        <v/>
      </c>
      <c r="BA48" s="1026">
        <f>$R48-AZ48</f>
        <v/>
      </c>
      <c r="BB48" s="508">
        <f>$R48/AZ48-1</f>
        <v/>
      </c>
      <c r="BC48" s="1233" t="n"/>
      <c r="BD48" s="1234" t="n"/>
      <c r="BE48" s="1025">
        <f>BD48+BC48</f>
        <v/>
      </c>
      <c r="BF48" s="1026">
        <f>$R48-BE48</f>
        <v/>
      </c>
      <c r="BG48" s="508">
        <f>$R48/BE48-1</f>
        <v/>
      </c>
    </row>
    <row r="49">
      <c r="A49" s="550" t="inlineStr">
        <is>
          <t>MURPHY OIL</t>
        </is>
      </c>
      <c r="B49" s="1235">
        <f>Janvier!B49+Février!B49+Mars!B49+Avril!B49+Mai!B49+Juin!B49+Juillet!B49+Aout!B49+Septembre!B49+Octobre!B49+Novembre!B49+Décembre!B49</f>
        <v/>
      </c>
      <c r="C49" s="1236">
        <f>Janvier!C49+Février!C49+Mars!C49+Avril!C49+Mai!C49+Juin!C49+Juillet!C49+Aout!C49+Septembre!C49+Octobre!C49+Novembre!C49+Décembre!C49</f>
        <v/>
      </c>
      <c r="D49" s="1237">
        <f>Janvier!D49+Février!D49+Mars!D49+Avril!D49+Mai!D49+Juin!D49+Juillet!D49+Aout!D49+Septembre!D49+Octobre!D49+Novembre!D49+Décembre!D49</f>
        <v/>
      </c>
      <c r="E49" s="1238">
        <f>Janvier!E49+Février!E49+Mars!E49+Avril!E49+Mai!E49+Juin!E49+Juillet!E49+Aout!E49+Septembre!E49+Octobre!E49+Novembre!E49+Décembre!E49</f>
        <v/>
      </c>
      <c r="F49" s="1089">
        <f>Janvier!F49+Février!F49+Mars!F49+Avril!F49+Mai!F49+Juin!F49+Juillet!F49+Aout!F49+Septembre!F49+Octobre!F49+Novembre!F49+Décembre!F49</f>
        <v/>
      </c>
      <c r="G49" s="1239">
        <f>Janvier!G49+Février!G49+Mars!G49+Avril!G49+Mai!G49+Juin!G49+Juillet!G49+Aout!G49+Septembre!G49+Octobre!G49+Novembre!G49+Décembre!G49</f>
        <v/>
      </c>
      <c r="H49" s="1239">
        <f>Janvier!H49+Février!H49+Mars!H49+Avril!H49+Mai!H49+Juin!H49+Juillet!H49+Aout!H49+Septembre!H49+Octobre!H49+Novembre!H49+Décembre!H49</f>
        <v/>
      </c>
      <c r="I49" s="1089">
        <f>Janvier!I49+Février!I49+Mars!I49+Avril!I49+Mai!I49+Juin!I49+Juillet!I49+Aout!I49+Septembre!I49+Octobre!I49+Novembre!I49+Décembre!I49</f>
        <v/>
      </c>
      <c r="J49" s="1089">
        <f>Janvier!J49+Février!J49+Mars!J49+Avril!J49+Mai!J49+Juin!J49+Juillet!J49+Aout!J49+Septembre!J49+Octobre!J49+Novembre!J49+Décembre!J49</f>
        <v/>
      </c>
      <c r="K49" s="1097" t="n"/>
      <c r="L49" s="1240">
        <f>SUM(E49:F49,I49:K49)</f>
        <v/>
      </c>
      <c r="M49" s="1222">
        <f>L49+D49</f>
        <v/>
      </c>
      <c r="N49" s="1223">
        <f>M49/655.957</f>
        <v/>
      </c>
      <c r="O49" s="445">
        <f>A49</f>
        <v/>
      </c>
      <c r="P49" s="1224">
        <f>B49</f>
        <v/>
      </c>
      <c r="Q49" s="1224">
        <f>C49</f>
        <v/>
      </c>
      <c r="R49" s="1225">
        <f>D49</f>
        <v/>
      </c>
      <c r="S49" s="1226">
        <f>X49/12*$A$1</f>
        <v/>
      </c>
      <c r="T49" s="1226">
        <f>Y49/12*$A$1</f>
        <v/>
      </c>
      <c r="U49" s="1025" t="n">
        <v>0</v>
      </c>
      <c r="V49" s="1026">
        <f>$R49-U49</f>
        <v/>
      </c>
      <c r="W49" s="678">
        <f>R49/U49-1</f>
        <v/>
      </c>
      <c r="X49" s="1227" t="n"/>
      <c r="Y49" s="1227" t="n"/>
      <c r="Z49" s="1025">
        <f>Y49+X49</f>
        <v/>
      </c>
      <c r="AA49" s="1026">
        <f>R49-Z49</f>
        <v/>
      </c>
      <c r="AB49" s="678">
        <f>R49/Z49-1</f>
        <v/>
      </c>
      <c r="AC49" s="314">
        <f>Z49/$Z$57</f>
        <v/>
      </c>
      <c r="AD49" s="1228" t="n">
        <v>121272000</v>
      </c>
      <c r="AE49" s="1229">
        <f>AF49-AD49</f>
        <v/>
      </c>
      <c r="AF49" s="1025" t="n">
        <v>175000000</v>
      </c>
      <c r="AG49" s="1026">
        <f>R49-AF49</f>
        <v/>
      </c>
      <c r="AH49" s="461">
        <f>R49/AF49-1</f>
        <v/>
      </c>
      <c r="AI49" s="1230" t="n">
        <v>121272000</v>
      </c>
      <c r="AJ49" s="1231">
        <f>AK49-AI49</f>
        <v/>
      </c>
      <c r="AK49" s="1025" t="n">
        <v>131272000</v>
      </c>
      <c r="AL49" s="1026">
        <f>R49-AK49</f>
        <v/>
      </c>
      <c r="AM49" s="457">
        <f>R49/AK49-1</f>
        <v/>
      </c>
      <c r="AN49" s="1232">
        <f>AI49/12*$A$1</f>
        <v/>
      </c>
      <c r="AO49" s="1232">
        <f>AJ49/12*$A$1</f>
        <v/>
      </c>
      <c r="AP49" s="1025">
        <f>AO49+AN49</f>
        <v/>
      </c>
      <c r="AQ49" s="1026">
        <f>R49-AP49</f>
        <v/>
      </c>
      <c r="AR49" s="461">
        <f>R49/AP49-1</f>
        <v/>
      </c>
      <c r="AS49" s="1233" t="n">
        <v>25000000</v>
      </c>
      <c r="AT49" s="1234" t="n">
        <v>3000000</v>
      </c>
      <c r="AU49" s="1025">
        <f>AT49+AS49</f>
        <v/>
      </c>
      <c r="AV49" s="1026">
        <f>AU49-Z49</f>
        <v/>
      </c>
      <c r="AW49" s="508">
        <f>AU49/Z49-1</f>
        <v/>
      </c>
      <c r="AX49" s="1233">
        <f>BC49/12*$A$1</f>
        <v/>
      </c>
      <c r="AY49" s="1234">
        <f>BD49/12*$A$1</f>
        <v/>
      </c>
      <c r="AZ49" s="1025">
        <f>AY49+AX49</f>
        <v/>
      </c>
      <c r="BA49" s="1026">
        <f>$R49-AZ49</f>
        <v/>
      </c>
      <c r="BB49" s="533">
        <f>$R49/AZ49-1</f>
        <v/>
      </c>
      <c r="BC49" s="1233" t="n">
        <v>12720000</v>
      </c>
      <c r="BD49" s="1234" t="n">
        <v>8000000</v>
      </c>
      <c r="BE49" s="1025">
        <f>BD49+BC49</f>
        <v/>
      </c>
      <c r="BF49" s="1026">
        <f>$R49-BE49</f>
        <v/>
      </c>
      <c r="BG49" s="533">
        <f>$R49/BE49-1</f>
        <v/>
      </c>
    </row>
    <row r="50" ht="15" customHeight="1" thickBot="1">
      <c r="A50" s="565" t="inlineStr">
        <is>
          <t>WELLTEC OILFIELD SERVICES</t>
        </is>
      </c>
      <c r="B50" s="1242">
        <f>Janvier!B50+Février!B50+Mars!B50+Avril!B50+Mai!B50+Juin!B50+Juillet!B50+Aout!B50+Septembre!B50+Octobre!B50+Novembre!B50+Décembre!B50</f>
        <v/>
      </c>
      <c r="C50" s="1243">
        <f>Janvier!C50+Février!C50+Mars!C50+Avril!C50+Mai!C50+Juin!C50+Juillet!C50+Aout!C50+Septembre!C50+Octobre!C50+Novembre!C50+Décembre!C50</f>
        <v/>
      </c>
      <c r="D50" s="1244">
        <f>Janvier!D50+Février!D50+Mars!D50+Avril!D50+Mai!D50+Juin!D50+Juillet!D50+Aout!D50+Septembre!D50+Octobre!D50+Novembre!D50+Décembre!D50</f>
        <v/>
      </c>
      <c r="E50" s="1245">
        <f>Janvier!E50+Février!E50+Mars!E50+Avril!E50+Mai!E50+Juin!E50+Juillet!E50+Aout!E50+Septembre!E50+Octobre!E50+Novembre!E50+Décembre!E50</f>
        <v/>
      </c>
      <c r="F50" s="1246">
        <f>Janvier!F50+Février!F50+Mars!F50+Avril!F50+Mai!F50+Juin!F50+Juillet!F50+Aout!F50+Septembre!F50+Octobre!F50+Novembre!F50+Décembre!F50</f>
        <v/>
      </c>
      <c r="G50" s="1247">
        <f>Janvier!G50+Février!G50+Mars!G50+Avril!G50+Mai!G50+Juin!G50+Juillet!G50+Aout!G50+Septembre!G50+Octobre!G50+Novembre!G50+Décembre!G50</f>
        <v/>
      </c>
      <c r="H50" s="1247">
        <f>Janvier!H50+Février!H50+Mars!H50+Avril!H50+Mai!H50+Juin!H50+Juillet!H50+Aout!H50+Septembre!H50+Octobre!H50+Novembre!H50+Décembre!H50</f>
        <v/>
      </c>
      <c r="I50" s="1246">
        <f>Janvier!I50+Février!I50+Mars!I50+Avril!I50+Mai!I50+Juin!I50+Juillet!I50+Aout!I50+Septembre!I50+Octobre!I50+Novembre!I50+Décembre!I50</f>
        <v/>
      </c>
      <c r="J50" s="1246">
        <f>Janvier!J50+Février!J50+Mars!J50+Avril!J50+Mai!J50+Juin!J50+Juillet!J50+Aout!J50+Septembre!J50+Octobre!J50+Novembre!J50+Décembre!J50</f>
        <v/>
      </c>
      <c r="K50" s="1104" t="n"/>
      <c r="L50" s="1248">
        <f>SUM(E50:F50,I50:K50)</f>
        <v/>
      </c>
      <c r="M50" s="1222">
        <f>L50+D50</f>
        <v/>
      </c>
      <c r="N50" s="1223">
        <f>M50/655.957</f>
        <v/>
      </c>
      <c r="O50" s="445">
        <f>A50</f>
        <v/>
      </c>
      <c r="P50" s="1224">
        <f>B50</f>
        <v/>
      </c>
      <c r="Q50" s="1224">
        <f>C50</f>
        <v/>
      </c>
      <c r="R50" s="1225">
        <f>D50</f>
        <v/>
      </c>
      <c r="S50" s="1226">
        <f>X50/12*$A$1</f>
        <v/>
      </c>
      <c r="T50" s="1226">
        <f>Y50/12*$A$1</f>
        <v/>
      </c>
      <c r="U50" s="1025" t="n">
        <v>0</v>
      </c>
      <c r="V50" s="1026">
        <f>$R50-U50</f>
        <v/>
      </c>
      <c r="W50" s="678">
        <f>R50/U50-1</f>
        <v/>
      </c>
      <c r="X50" s="1227" t="n"/>
      <c r="Y50" s="1227" t="n"/>
      <c r="Z50" s="1025">
        <f>Y50+X50</f>
        <v/>
      </c>
      <c r="AA50" s="1026">
        <f>R50-Z50</f>
        <v/>
      </c>
      <c r="AB50" s="678">
        <f>R50/Z50-1</f>
        <v/>
      </c>
      <c r="AC50" s="314">
        <f>Z50/$Z$57</f>
        <v/>
      </c>
      <c r="AD50" s="1228" t="n"/>
      <c r="AE50" s="1229">
        <f>AF50-AD50</f>
        <v/>
      </c>
      <c r="AF50" s="1025" t="n">
        <v>0</v>
      </c>
      <c r="AG50" s="1026">
        <f>R50-AF50</f>
        <v/>
      </c>
      <c r="AH50" s="411">
        <f>R50/AF50-1</f>
        <v/>
      </c>
      <c r="AI50" s="1230" t="n"/>
      <c r="AJ50" s="1231">
        <f>AK50-AI50</f>
        <v/>
      </c>
      <c r="AK50" s="1025" t="n">
        <v>0</v>
      </c>
      <c r="AL50" s="1026">
        <f>R50-AK50</f>
        <v/>
      </c>
      <c r="AM50" s="411" t="n">
        <v>0</v>
      </c>
      <c r="AN50" s="1232">
        <f>AI50/12*$A$1</f>
        <v/>
      </c>
      <c r="AO50" s="1232">
        <f>AJ50/12*$A$1</f>
        <v/>
      </c>
      <c r="AP50" s="1025">
        <f>AO50+AN50</f>
        <v/>
      </c>
      <c r="AQ50" s="1026">
        <f>R50-AP50</f>
        <v/>
      </c>
      <c r="AR50" s="411" t="n">
        <v>0</v>
      </c>
      <c r="AS50" s="1233" t="n"/>
      <c r="AT50" s="1234" t="n"/>
      <c r="AU50" s="1025">
        <f>AT50+AS50</f>
        <v/>
      </c>
      <c r="AV50" s="1026">
        <f>AU50-Z50</f>
        <v/>
      </c>
      <c r="AW50" s="508">
        <f>AU50/Z50-1</f>
        <v/>
      </c>
      <c r="AX50" s="1233">
        <f>BC50/12*$A$1</f>
        <v/>
      </c>
      <c r="AY50" s="1234">
        <f>BD50/12*$A$1</f>
        <v/>
      </c>
      <c r="AZ50" s="1025">
        <f>AY50+AX50</f>
        <v/>
      </c>
      <c r="BA50" s="1026">
        <f>$R50-AZ50</f>
        <v/>
      </c>
      <c r="BB50" s="502">
        <f>$R50/AZ50-1</f>
        <v/>
      </c>
      <c r="BC50" s="1233" t="n"/>
      <c r="BD50" s="1234" t="n"/>
      <c r="BE50" s="1025">
        <f>BD50+BC50</f>
        <v/>
      </c>
      <c r="BF50" s="1026">
        <f>$R50-BE50</f>
        <v/>
      </c>
      <c r="BG50" s="502">
        <f>$R50/BE50-1</f>
        <v/>
      </c>
    </row>
    <row r="51" ht="15" customHeight="1" thickBot="1">
      <c r="A51" s="90" t="inlineStr">
        <is>
          <t>CA TOTAL GENERE PAR ACTIVITE</t>
        </is>
      </c>
      <c r="B51" s="1249">
        <f>SUM(B4:B50)</f>
        <v/>
      </c>
      <c r="C51" s="1250">
        <f>SUM(C4:C50)</f>
        <v/>
      </c>
      <c r="D51" s="1251">
        <f>SUM(D4:D50)</f>
        <v/>
      </c>
      <c r="E51" s="1252">
        <f>SUM(E4:E50)</f>
        <v/>
      </c>
      <c r="F51" s="1253">
        <f>SUM(F4:F50)</f>
        <v/>
      </c>
      <c r="G51" s="1254">
        <f>SUM(G4:G50)</f>
        <v/>
      </c>
      <c r="H51" s="1254">
        <f>SUM(H4:H50)</f>
        <v/>
      </c>
      <c r="I51" s="1253">
        <f>SUM(I4:I50)</f>
        <v/>
      </c>
      <c r="J51" s="1253">
        <f>SUM(J4:J50)</f>
        <v/>
      </c>
      <c r="K51" s="1250">
        <f>Janvier!K51+Février!K51+Mars!K51+Avril!K51+Mai!K51+Juin!K51+Juillet!K51+Aout!K51+Septembre!K51+Octobre!K51+Novembre!K51+Décembre!K51</f>
        <v/>
      </c>
      <c r="L51" s="1255">
        <f>SUM(L4:L50)+K51</f>
        <v/>
      </c>
      <c r="M51" s="1256">
        <f>SUM(M4:M50)</f>
        <v/>
      </c>
      <c r="N51" s="1223">
        <f>M51/655.957</f>
        <v/>
      </c>
      <c r="O51" s="447" t="inlineStr">
        <is>
          <t xml:space="preserve">ACTIVITE BASE </t>
        </is>
      </c>
      <c r="P51" s="1257">
        <f>SUM(P4:P50)</f>
        <v/>
      </c>
      <c r="Q51" s="1257">
        <f>SUM(Q4:Q50)</f>
        <v/>
      </c>
      <c r="R51" s="1258">
        <f>SUM(R4:R50)</f>
        <v/>
      </c>
      <c r="S51" s="1259" t="n"/>
      <c r="T51" s="1259" t="n"/>
      <c r="U51" s="1044">
        <f>SUM(U4:U50)</f>
        <v/>
      </c>
      <c r="V51" s="1026">
        <f>$R51-U51</f>
        <v/>
      </c>
      <c r="W51" s="678">
        <f>R51/U51-1</f>
        <v/>
      </c>
      <c r="X51" s="1260">
        <f>SUM(X4:X50)</f>
        <v/>
      </c>
      <c r="Y51" s="1260">
        <f>SUM(Y4:Y50)</f>
        <v/>
      </c>
      <c r="Z51" s="1044">
        <f>SUM(Z4:Z50)</f>
        <v/>
      </c>
      <c r="AA51" s="1026">
        <f>R51-Z51</f>
        <v/>
      </c>
      <c r="AB51" s="678">
        <f>R51/Z51-1</f>
        <v/>
      </c>
      <c r="AC51" s="691" t="n"/>
      <c r="AD51" s="1261">
        <f>SUM(AD4:AD50)</f>
        <v/>
      </c>
      <c r="AE51" s="1262">
        <f>SUM(AE4:AE50)</f>
        <v/>
      </c>
      <c r="AF51" s="1044">
        <f>SUM(AF4:AF50)</f>
        <v/>
      </c>
      <c r="AG51" s="1026">
        <f>R51-AF51</f>
        <v/>
      </c>
      <c r="AH51" s="413">
        <f>R51/AF51-1</f>
        <v/>
      </c>
      <c r="AI51" s="1263">
        <f>SUM(AI4:AI50)</f>
        <v/>
      </c>
      <c r="AJ51" s="1264">
        <f>SUM(AJ4:AJ50)</f>
        <v/>
      </c>
      <c r="AK51" s="1044">
        <f>SUM(AK4:AK50)</f>
        <v/>
      </c>
      <c r="AL51" s="1045">
        <f>R51-AK51</f>
        <v/>
      </c>
      <c r="AM51" s="463">
        <f>R51/AK51-1</f>
        <v/>
      </c>
      <c r="AN51" s="1265">
        <f>SUM(AN4:AN50)</f>
        <v/>
      </c>
      <c r="AO51" s="1266">
        <f>SUM(AO4:AO50)</f>
        <v/>
      </c>
      <c r="AP51" s="1025">
        <f>AO51+AN51</f>
        <v/>
      </c>
      <c r="AQ51" s="1045">
        <f>R51-AP51</f>
        <v/>
      </c>
      <c r="AR51" s="413">
        <f>R51/AP51-1</f>
        <v/>
      </c>
      <c r="AS51" s="1267">
        <f>SUM(AS4:AS50)</f>
        <v/>
      </c>
      <c r="AT51" s="1268">
        <f>SUM(AT4:AT50)</f>
        <v/>
      </c>
      <c r="AU51" s="1044">
        <f>SUM(AU4:AU50)</f>
        <v/>
      </c>
      <c r="AV51" s="1026">
        <f>AU51-Z51</f>
        <v/>
      </c>
      <c r="AW51" s="508">
        <f>AU51/Z51-1</f>
        <v/>
      </c>
      <c r="AX51" s="1267">
        <f>SUM(AX4:AX50)</f>
        <v/>
      </c>
      <c r="AY51" s="1268">
        <f>SUM(AY4:AY50)</f>
        <v/>
      </c>
      <c r="AZ51" s="1044">
        <f>SUM(AZ4:AZ50)</f>
        <v/>
      </c>
      <c r="BA51" s="1269">
        <f>$R51-AZ51</f>
        <v/>
      </c>
      <c r="BB51" s="521">
        <f>$R51/AZ51-1</f>
        <v/>
      </c>
      <c r="BC51" s="1267">
        <f>SUM(BC4:BC50)</f>
        <v/>
      </c>
      <c r="BD51" s="1268">
        <f>SUM(BD4:BD50)</f>
        <v/>
      </c>
      <c r="BE51" s="1044">
        <f>SUM(BE4:BE50)</f>
        <v/>
      </c>
      <c r="BF51" s="1269">
        <f>$R51-BE51</f>
        <v/>
      </c>
      <c r="BG51" s="534">
        <f>$R51/BE51-1</f>
        <v/>
      </c>
    </row>
    <row r="52" ht="15" customHeight="1" thickBot="1">
      <c r="A52" s="102" t="inlineStr">
        <is>
          <t>Rétrocession</t>
        </is>
      </c>
      <c r="B52" s="1270" t="n"/>
      <c r="C52" s="1271" t="n"/>
      <c r="D52" s="1271">
        <f>E52+F52+I52+J52</f>
        <v/>
      </c>
      <c r="E52" s="1272">
        <f>Janvier!E52+Février!E52+Mars!E52+Avril!E52+Mai!E52+Juin!E52+Juillet!E52+Aout!E52+Septembre!E52+Octobre!E52+Novembre!E52+Décembre!E52</f>
        <v/>
      </c>
      <c r="F52" s="1272">
        <f>Janvier!F52+Février!F52+Mars!F52+Avril!F52+Mai!F52+Juin!F52+Juillet!F52+Aout!F52+Septembre!F52+Octobre!F52+Novembre!F52+Décembre!F52</f>
        <v/>
      </c>
      <c r="G52" s="1272">
        <f>Janvier!G52+Février!G52+Mars!G52+Avril!G52+Mai!G52+Juin!G52+Juillet!G52+Aout!G52+Septembre!G52+Octobre!G50+Novembre!G50+Décembre!G50</f>
        <v/>
      </c>
      <c r="H52" s="1272">
        <f>Janvier!H52+Février!H52+Mars!H52+Avril!H52+Mai!H52+Juin!H52+Juillet!H52+Aout!H52+Septembre!H52+Octobre!H50+Novembre!H50+Décembre!H50</f>
        <v/>
      </c>
      <c r="I52" s="1272">
        <f>Janvier!I52+Février!I52+Mars!I52+Avril!I52+Mai!I52+Juin!I52+Juillet!I52+Aout!I52+Septembre!I52+Octobre!I52+Novembre!I52+Décembre!I52</f>
        <v/>
      </c>
      <c r="J52" s="1272">
        <f>Janvier!J52+Février!J52+Mars!J52+Avril!J52+Mai!J52+Juin!J52+Juillet!J52+Aout!J52+Septembre!J52+Octobre!J52+Novembre!J52+Décembre!J52</f>
        <v/>
      </c>
      <c r="K52" s="1272" t="n"/>
      <c r="L52" s="1272" t="n"/>
      <c r="M52" s="1273">
        <f>SUM(E52:K52)</f>
        <v/>
      </c>
      <c r="N52" s="1051" t="n"/>
      <c r="O52" s="235" t="inlineStr">
        <is>
          <t xml:space="preserve">Rétrocessions </t>
        </is>
      </c>
      <c r="P52" s="240" t="n"/>
      <c r="Q52" s="288" t="n"/>
      <c r="R52" s="288" t="n"/>
      <c r="S52" s="288" t="n"/>
      <c r="T52" s="288" t="n"/>
      <c r="U52" s="414" t="n"/>
      <c r="V52" s="233" t="n"/>
      <c r="W52" s="677" t="n"/>
      <c r="X52" s="288" t="n"/>
      <c r="Y52" s="288" t="n"/>
      <c r="Z52" s="416" t="n"/>
      <c r="AA52" s="233" t="n"/>
      <c r="AB52" s="677" t="n"/>
      <c r="AC52" s="233" t="n"/>
      <c r="AD52" s="316" t="n"/>
      <c r="AE52" s="288" t="n"/>
      <c r="AF52" s="416" t="n"/>
      <c r="AG52" s="233" t="n"/>
      <c r="AH52" s="234" t="n"/>
      <c r="AI52" s="316" t="n"/>
      <c r="AJ52" s="288" t="n"/>
      <c r="AK52" s="416" t="n"/>
      <c r="AL52" s="233" t="n"/>
      <c r="AM52" s="234" t="n"/>
      <c r="AN52" s="316" t="n"/>
      <c r="AO52" s="288" t="n"/>
      <c r="AP52" s="416" t="n"/>
      <c r="AQ52" s="233" t="n"/>
      <c r="AR52" s="234" t="n"/>
      <c r="AS52" s="316" t="n"/>
      <c r="AT52" s="288" t="n"/>
      <c r="AU52" s="416" t="n"/>
      <c r="AV52" s="1274">
        <f>AU52-Z52</f>
        <v/>
      </c>
      <c r="AW52" s="234" t="n"/>
      <c r="AX52" s="316" t="n"/>
      <c r="AY52" s="288" t="n"/>
      <c r="AZ52" s="416" t="n"/>
      <c r="BA52" s="1275" t="n"/>
      <c r="BB52" s="234" t="n"/>
      <c r="BC52" s="316" t="n"/>
      <c r="BD52" s="288" t="n"/>
      <c r="BE52" s="416" t="n"/>
      <c r="BF52" s="1276">
        <f>$R52-BE52</f>
        <v/>
      </c>
      <c r="BG52" s="514">
        <f>$R52/BE52-1</f>
        <v/>
      </c>
    </row>
    <row r="53" ht="16" customHeight="1" thickBot="1">
      <c r="A53" s="99" t="inlineStr">
        <is>
          <t>Taux Rétrocession</t>
        </is>
      </c>
      <c r="B53" s="1277" t="n"/>
      <c r="C53" s="1278" t="n"/>
      <c r="D53" s="1278" t="n"/>
      <c r="E53" s="1279">
        <f>E52/E51</f>
        <v/>
      </c>
      <c r="F53" s="1279">
        <f>F52/F51</f>
        <v/>
      </c>
      <c r="G53" s="1280" t="n"/>
      <c r="H53" s="1280" t="n"/>
      <c r="I53" s="1279">
        <f>I52/I51</f>
        <v/>
      </c>
      <c r="J53" s="1279">
        <f>J52/J51</f>
        <v/>
      </c>
      <c r="K53" s="1279" t="n"/>
      <c r="L53" s="1281">
        <f>M52/L51</f>
        <v/>
      </c>
      <c r="M53" s="1282">
        <f>M52/M51</f>
        <v/>
      </c>
      <c r="N53" s="1283" t="n"/>
      <c r="O53" s="229" t="inlineStr">
        <is>
          <t>IMAR</t>
        </is>
      </c>
      <c r="P53" s="420" t="n"/>
      <c r="Q53" s="1284" t="n"/>
      <c r="R53" s="1060">
        <f>E52</f>
        <v/>
      </c>
      <c r="S53" s="1285" t="n"/>
      <c r="T53" s="1285" t="n"/>
      <c r="U53" s="1215" t="n">
        <v>6667000</v>
      </c>
      <c r="V53" s="1026">
        <f>$R53-U53</f>
        <v/>
      </c>
      <c r="W53" s="678">
        <f>R53/U53-1</f>
        <v/>
      </c>
      <c r="X53" s="1285" t="n"/>
      <c r="Y53" s="1285" t="n"/>
      <c r="Z53" s="1286" t="n">
        <v>80000000</v>
      </c>
      <c r="AA53" s="1026">
        <f>R53-Z53</f>
        <v/>
      </c>
      <c r="AB53" s="678">
        <f>R53/Z53-1</f>
        <v/>
      </c>
      <c r="AC53" s="314">
        <f>Z53/$Z$57</f>
        <v/>
      </c>
      <c r="AD53" s="1287" t="n"/>
      <c r="AE53" s="1285" t="n"/>
      <c r="AF53" s="1286">
        <f>100000000</f>
        <v/>
      </c>
      <c r="AG53" s="1026">
        <f>R53-AF53</f>
        <v/>
      </c>
      <c r="AH53" s="457">
        <f>R53/AF53-1</f>
        <v/>
      </c>
      <c r="AI53" s="1287" t="n"/>
      <c r="AJ53" s="1285" t="n"/>
      <c r="AK53" s="1286">
        <f>100000000</f>
        <v/>
      </c>
      <c r="AL53" s="1026">
        <f>U53-AK53</f>
        <v/>
      </c>
      <c r="AM53" s="459">
        <f>U53/AK53-1</f>
        <v/>
      </c>
      <c r="AN53" s="1287" t="n"/>
      <c r="AO53" s="1285" t="n"/>
      <c r="AP53" s="1286">
        <f>AK53/12*$A$1</f>
        <v/>
      </c>
      <c r="AQ53" s="1026">
        <f>Z53-AP53</f>
        <v/>
      </c>
      <c r="AR53" s="459">
        <f>Z53/AP53-1</f>
        <v/>
      </c>
      <c r="AS53" s="1287" t="n"/>
      <c r="AT53" s="1285" t="n"/>
      <c r="AU53" s="1286" t="n">
        <v>50000000</v>
      </c>
      <c r="AV53" s="1026">
        <f>AU53-Z53</f>
        <v/>
      </c>
      <c r="AW53" s="508">
        <f>AU53/Z53-1</f>
        <v/>
      </c>
      <c r="AX53" s="1287" t="n"/>
      <c r="AY53" s="1285" t="n"/>
      <c r="AZ53" s="1286">
        <f>AU53/12*$A$1</f>
        <v/>
      </c>
      <c r="BA53" s="1026">
        <f>$R53-AZ53</f>
        <v/>
      </c>
      <c r="BB53" s="502">
        <f>$R53/AZ53-1</f>
        <v/>
      </c>
      <c r="BC53" s="1287" t="n"/>
      <c r="BD53" s="1285" t="n"/>
      <c r="BE53" s="1286" t="n">
        <v>80000000</v>
      </c>
      <c r="BF53" s="1026">
        <f>$R53-BE53</f>
        <v/>
      </c>
      <c r="BG53" s="508">
        <f>$R53/BE53-1</f>
        <v/>
      </c>
    </row>
    <row r="54" ht="19" customFormat="1" customHeight="1" s="1003" thickBot="1">
      <c r="A54" s="80" t="inlineStr">
        <is>
          <t>TOTAL Après rétrocession</t>
        </is>
      </c>
      <c r="B54" s="1288" t="n"/>
      <c r="C54" s="12" t="n"/>
      <c r="D54" s="1289">
        <f>D52+D51</f>
        <v/>
      </c>
      <c r="E54" s="1290">
        <f>E51-E52</f>
        <v/>
      </c>
      <c r="F54" s="1290">
        <f>F51-F52</f>
        <v/>
      </c>
      <c r="G54" s="1290" t="n"/>
      <c r="H54" s="1290" t="n"/>
      <c r="I54" s="1290">
        <f>I51-I52</f>
        <v/>
      </c>
      <c r="J54" s="1290">
        <f>J51-J52</f>
        <v/>
      </c>
      <c r="K54" s="1290">
        <f>K52</f>
        <v/>
      </c>
      <c r="L54" s="1291" t="n"/>
      <c r="M54" s="1292">
        <f>D54</f>
        <v/>
      </c>
      <c r="N54" s="1293" t="n"/>
      <c r="O54" s="231" t="inlineStr">
        <is>
          <t>HINT</t>
        </is>
      </c>
      <c r="P54" s="1294" t="n"/>
      <c r="Q54" s="1295" t="n"/>
      <c r="R54" s="1066">
        <f>F52</f>
        <v/>
      </c>
      <c r="S54" s="1296" t="n"/>
      <c r="T54" s="1296" t="n"/>
      <c r="U54" s="1215" t="n">
        <v>800000</v>
      </c>
      <c r="V54" s="1026">
        <f>$R54-U54</f>
        <v/>
      </c>
      <c r="W54" s="678">
        <f>R54/U54-1</f>
        <v/>
      </c>
      <c r="X54" s="1296" t="n"/>
      <c r="Y54" s="1296" t="n"/>
      <c r="Z54" s="1297" t="n">
        <v>10000000</v>
      </c>
      <c r="AA54" s="1026">
        <f>R54-Z54</f>
        <v/>
      </c>
      <c r="AB54" s="678">
        <f>R54/Z54-1</f>
        <v/>
      </c>
      <c r="AC54" s="314">
        <f>Z54/$Z$57</f>
        <v/>
      </c>
      <c r="AD54" s="1298" t="n"/>
      <c r="AE54" s="1296" t="n"/>
      <c r="AF54" s="1297">
        <f>9600000</f>
        <v/>
      </c>
      <c r="AG54" s="1026">
        <f>R54-AF54</f>
        <v/>
      </c>
      <c r="AH54" s="457">
        <f>R54/AF54-1</f>
        <v/>
      </c>
      <c r="AI54" s="1298" t="n"/>
      <c r="AJ54" s="1296" t="n"/>
      <c r="AK54" s="1297">
        <f>9600000</f>
        <v/>
      </c>
      <c r="AL54" s="1026">
        <f>U54-AK54</f>
        <v/>
      </c>
      <c r="AM54" s="459">
        <f>U54/AK54-1</f>
        <v/>
      </c>
      <c r="AN54" s="1298" t="n"/>
      <c r="AO54" s="1296" t="n"/>
      <c r="AP54" s="1286">
        <f>AK54/12*$A$1</f>
        <v/>
      </c>
      <c r="AQ54" s="1026">
        <f>Z54-AP54</f>
        <v/>
      </c>
      <c r="AR54" s="459">
        <f>Z54/AP54-1</f>
        <v/>
      </c>
      <c r="AS54" s="1298" t="n"/>
      <c r="AT54" s="1296" t="n"/>
      <c r="AU54" s="1297" t="n">
        <v>5000000</v>
      </c>
      <c r="AV54" s="1026">
        <f>AU54-Z54</f>
        <v/>
      </c>
      <c r="AW54" s="508">
        <f>AU54/Z54-1</f>
        <v/>
      </c>
      <c r="AX54" s="1298" t="n"/>
      <c r="AY54" s="1296" t="n"/>
      <c r="AZ54" s="1286">
        <f>AU54/12*$A$1</f>
        <v/>
      </c>
      <c r="BA54" s="1026">
        <f>$R54-AZ54</f>
        <v/>
      </c>
      <c r="BB54" s="502">
        <f>$R54/AZ54-1</f>
        <v/>
      </c>
      <c r="BC54" s="1298" t="n"/>
      <c r="BD54" s="1296" t="n"/>
      <c r="BE54" s="1297" t="n">
        <v>8000000</v>
      </c>
      <c r="BF54" s="1026">
        <f>$R54-BE54</f>
        <v/>
      </c>
      <c r="BG54" s="508">
        <f>$R54/BE54-1</f>
        <v/>
      </c>
    </row>
    <row r="55" ht="15.5" customHeight="1">
      <c r="E55" s="1003" t="n"/>
      <c r="O55" s="231" t="inlineStr">
        <is>
          <t>AER</t>
        </is>
      </c>
      <c r="P55" s="420" t="n"/>
      <c r="Q55" s="1295" t="n"/>
      <c r="R55" s="1066">
        <f>I52</f>
        <v/>
      </c>
      <c r="S55" s="1296" t="n"/>
      <c r="T55" s="1296" t="n"/>
      <c r="U55" s="1215" t="n">
        <v>4100000</v>
      </c>
      <c r="V55" s="1026">
        <f>$R55-U55</f>
        <v/>
      </c>
      <c r="W55" s="678">
        <f>R55/U55-1</f>
        <v/>
      </c>
      <c r="X55" s="1296" t="n"/>
      <c r="Y55" s="1296" t="n"/>
      <c r="Z55" s="1297" t="n">
        <v>35000000</v>
      </c>
      <c r="AA55" s="1026">
        <f>R55-Z55</f>
        <v/>
      </c>
      <c r="AB55" s="678">
        <f>R55/Z55-1</f>
        <v/>
      </c>
      <c r="AC55" s="314">
        <f>Z55/$Z$57</f>
        <v/>
      </c>
      <c r="AD55" s="1298" t="n"/>
      <c r="AE55" s="1296" t="n"/>
      <c r="AF55" s="1297">
        <f>108000000</f>
        <v/>
      </c>
      <c r="AG55" s="1026">
        <f>R55-AF55</f>
        <v/>
      </c>
      <c r="AH55" s="457">
        <f>R55/AF55-1</f>
        <v/>
      </c>
      <c r="AI55" s="1298" t="n"/>
      <c r="AJ55" s="1296" t="n"/>
      <c r="AK55" s="1297" t="n">
        <v>130000000</v>
      </c>
      <c r="AL55" s="1026">
        <f>U55-AK55</f>
        <v/>
      </c>
      <c r="AM55" s="457">
        <f>U55/AK55-1</f>
        <v/>
      </c>
      <c r="AN55" s="1298" t="n"/>
      <c r="AO55" s="1296" t="n"/>
      <c r="AP55" s="1286">
        <f>AK55/12*$A$1</f>
        <v/>
      </c>
      <c r="AQ55" s="1026">
        <f>Z55-AP55</f>
        <v/>
      </c>
      <c r="AR55" s="457">
        <f>Z55/AP55-1</f>
        <v/>
      </c>
      <c r="AS55" s="1298" t="n"/>
      <c r="AT55" s="1296" t="n"/>
      <c r="AU55" s="1297" t="n">
        <v>100000000</v>
      </c>
      <c r="AV55" s="1026">
        <f>AU55-Z55</f>
        <v/>
      </c>
      <c r="AW55" s="508">
        <f>AU55/Z55-1</f>
        <v/>
      </c>
      <c r="AX55" s="1298" t="n"/>
      <c r="AY55" s="1296" t="n"/>
      <c r="AZ55" s="1286">
        <f>AU55/12*$A$1</f>
        <v/>
      </c>
      <c r="BA55" s="1026">
        <f>$R55-AZ55</f>
        <v/>
      </c>
      <c r="BB55" s="533">
        <f>$R55/AZ55-1</f>
        <v/>
      </c>
      <c r="BC55" s="1298" t="n"/>
      <c r="BD55" s="1296" t="n"/>
      <c r="BE55" s="1297" t="n">
        <v>80000000</v>
      </c>
      <c r="BF55" s="1026">
        <f>$R55-BE55</f>
        <v/>
      </c>
      <c r="BG55" s="533">
        <f>$R55/BE55-1</f>
        <v/>
      </c>
    </row>
    <row r="56" ht="16" customHeight="1" thickBot="1">
      <c r="D56" s="1069" t="n"/>
      <c r="E56" s="1069" t="n"/>
      <c r="F56" s="1069" t="n"/>
      <c r="G56" s="1069" t="n"/>
      <c r="H56" s="1069" t="n"/>
      <c r="I56" s="1069" t="n"/>
      <c r="J56" s="1069" t="n"/>
      <c r="O56" s="236" t="inlineStr">
        <is>
          <t>EMAR</t>
        </is>
      </c>
      <c r="P56" s="420" t="n"/>
      <c r="Q56" s="1295" t="n"/>
      <c r="R56" s="1071">
        <f>J52</f>
        <v/>
      </c>
      <c r="S56" s="1299" t="n"/>
      <c r="T56" s="1299" t="n"/>
      <c r="U56" s="1215" t="n">
        <v>2500000</v>
      </c>
      <c r="V56" s="1026">
        <f>$R56-U56</f>
        <v/>
      </c>
      <c r="W56" s="678">
        <f>R56/U56-1</f>
        <v/>
      </c>
      <c r="X56" s="1299" t="n"/>
      <c r="Y56" s="1299" t="n"/>
      <c r="Z56" s="1297" t="n">
        <v>50000000</v>
      </c>
      <c r="AA56" s="1026">
        <f>R56-Z56</f>
        <v/>
      </c>
      <c r="AB56" s="678">
        <f>R56/Z56-1</f>
        <v/>
      </c>
      <c r="AC56" s="314">
        <f>Z56/$Z$57</f>
        <v/>
      </c>
      <c r="AD56" s="1300" t="n"/>
      <c r="AE56" s="1299" t="n"/>
      <c r="AF56" s="1297">
        <f>60000000</f>
        <v/>
      </c>
      <c r="AG56" s="1026">
        <f>R56-AF56</f>
        <v/>
      </c>
      <c r="AH56" s="457">
        <f>R56/AF56-1</f>
        <v/>
      </c>
      <c r="AI56" s="1300" t="n"/>
      <c r="AJ56" s="1299" t="n"/>
      <c r="AK56" s="1297">
        <f>60000000</f>
        <v/>
      </c>
      <c r="AL56" s="1026">
        <f>U56-AK56</f>
        <v/>
      </c>
      <c r="AM56" s="459">
        <f>U56/AK56-1</f>
        <v/>
      </c>
      <c r="AN56" s="1300" t="n"/>
      <c r="AO56" s="1299" t="n"/>
      <c r="AP56" s="1286">
        <f>AK56/12*$A$1</f>
        <v/>
      </c>
      <c r="AQ56" s="1026">
        <f>Z56-AP56</f>
        <v/>
      </c>
      <c r="AR56" s="459">
        <f>Z56/AP56-1</f>
        <v/>
      </c>
      <c r="AS56" s="1300" t="n"/>
      <c r="AT56" s="1299" t="n"/>
      <c r="AU56" s="1297" t="n">
        <v>16000000</v>
      </c>
      <c r="AV56" s="1026">
        <f>AU56-Z56</f>
        <v/>
      </c>
      <c r="AW56" s="508">
        <f>AU56/Z56-1</f>
        <v/>
      </c>
      <c r="AX56" s="1300" t="n"/>
      <c r="AY56" s="1299" t="n"/>
      <c r="AZ56" s="1301">
        <f>AU56/12*$A$1</f>
        <v/>
      </c>
      <c r="BA56" s="1302">
        <f>$R56-AZ56</f>
        <v/>
      </c>
      <c r="BB56" s="525">
        <f>$R56/AZ56-1</f>
        <v/>
      </c>
      <c r="BC56" s="1303" t="n"/>
      <c r="BD56" s="1304" t="n"/>
      <c r="BE56" s="1305" t="n">
        <v>30000000</v>
      </c>
      <c r="BF56" s="1302">
        <f>$R56-BE56</f>
        <v/>
      </c>
      <c r="BG56" s="528">
        <f>$R56/BE56-1</f>
        <v/>
      </c>
    </row>
    <row r="57" ht="19" customHeight="1" thickBot="1">
      <c r="O57" s="1073" t="inlineStr">
        <is>
          <t>ACTIVITE O&amp;G</t>
        </is>
      </c>
      <c r="Q57" s="1306" t="n"/>
      <c r="R57" s="1074">
        <f>R51+R53+R54+R55+R56</f>
        <v/>
      </c>
      <c r="S57" s="1307" t="n"/>
      <c r="T57" s="1307" t="n"/>
      <c r="U57" s="1308">
        <f>U51+U53+U54+U55+U56</f>
        <v/>
      </c>
      <c r="V57" s="1075">
        <f>V51+V53+V54+V55+V56</f>
        <v/>
      </c>
      <c r="W57" s="679">
        <f>R57/U57-1</f>
        <v/>
      </c>
      <c r="X57" s="1307" t="n"/>
      <c r="Y57" s="1307" t="n"/>
      <c r="Z57" s="1308">
        <f>Z51+Z53+Z54+Z55+Z56</f>
        <v/>
      </c>
      <c r="AA57" s="1075">
        <f>AA51+AA53+AA54+AA55+AA56</f>
        <v/>
      </c>
      <c r="AB57" s="679">
        <f>R57/Z57-1</f>
        <v/>
      </c>
      <c r="AC57" s="313" t="n"/>
      <c r="AD57" s="1309" t="n"/>
      <c r="AE57" s="1307" t="n"/>
      <c r="AF57" s="1308">
        <f>AF51+AF53+AF54+AF55+AF56</f>
        <v/>
      </c>
      <c r="AG57" s="1075">
        <f>AG51+AG53+AG54+AG55+AG56</f>
        <v/>
      </c>
      <c r="AH57" s="458">
        <f>R57/AF57-1</f>
        <v/>
      </c>
      <c r="AI57" s="1309" t="n"/>
      <c r="AJ57" s="1307" t="n"/>
      <c r="AK57" s="1308">
        <f>AK51+AK53+AK54+AK55+AK56</f>
        <v/>
      </c>
      <c r="AL57" s="1075">
        <f>AL51+AL53+AL54+AL55+AL56</f>
        <v/>
      </c>
      <c r="AM57" s="460">
        <f>R57/AK57-1</f>
        <v/>
      </c>
      <c r="AN57" s="1309" t="n"/>
      <c r="AO57" s="1307" t="n"/>
      <c r="AP57" s="1308">
        <f>AP51+AP53+AP54+AP55+AP56</f>
        <v/>
      </c>
      <c r="AQ57" s="1075">
        <f>AQ51+AQ53+AQ54+AQ55+AQ56</f>
        <v/>
      </c>
      <c r="AR57" s="460">
        <f>R57/AP57-1</f>
        <v/>
      </c>
      <c r="AS57" s="1309" t="n"/>
      <c r="AT57" s="1307" t="n"/>
      <c r="AU57" s="1308">
        <f>AU51+AU53+AU54+AU55+AU56</f>
        <v/>
      </c>
      <c r="AV57" s="1302">
        <f>AU57-Z57</f>
        <v/>
      </c>
      <c r="AW57" s="506">
        <f>AU57/Z57-1</f>
        <v/>
      </c>
      <c r="AX57" s="1309" t="n"/>
      <c r="AY57" s="1307" t="n"/>
      <c r="AZ57" s="1310">
        <f>AZ51+AZ53+AZ54+AZ55+AZ56</f>
        <v/>
      </c>
      <c r="BA57" s="1311">
        <f>$R57-AZ57</f>
        <v/>
      </c>
      <c r="BB57" s="509">
        <f>$R57/AZ57-1</f>
        <v/>
      </c>
      <c r="BC57" s="1312" t="n"/>
      <c r="BD57" s="1306" t="n"/>
      <c r="BE57" s="1310">
        <f>BE51+BE53+BE54+BE55+BE56</f>
        <v/>
      </c>
      <c r="BF57" s="1313">
        <f>$R57-BE57</f>
        <v/>
      </c>
      <c r="BG57" s="535">
        <f>$R57/BE57-1</f>
        <v/>
      </c>
    </row>
    <row r="58" ht="16" customHeight="1" thickBot="1">
      <c r="D58" s="1314" t="n"/>
      <c r="O58" s="1008" t="inlineStr">
        <is>
          <t>R20</t>
        </is>
      </c>
      <c r="P58" s="1006" t="n"/>
      <c r="Q58" s="941" t="n"/>
      <c r="R58" s="941" t="n"/>
      <c r="S58" s="941" t="n"/>
      <c r="T58" s="941" t="n"/>
      <c r="U58" s="1077" t="n"/>
      <c r="V58" s="1005" t="n"/>
      <c r="W58" s="1006" t="n"/>
      <c r="X58" s="941" t="n"/>
      <c r="Y58" s="941" t="n"/>
      <c r="Z58" s="1077" t="n"/>
      <c r="AA58" s="1005" t="n"/>
      <c r="AB58" s="1006" t="n"/>
      <c r="AC58" s="933" t="n"/>
      <c r="AD58" s="930" t="n"/>
      <c r="AE58" s="941" t="n"/>
      <c r="AF58" s="1077" t="inlineStr">
        <is>
          <t xml:space="preserve">Variation Réel 15 / B15 </t>
        </is>
      </c>
      <c r="AG58" s="1005" t="n"/>
      <c r="AH58" s="1006" t="n"/>
      <c r="AI58" s="930" t="n"/>
      <c r="AJ58" s="941" t="n"/>
      <c r="AK58" s="1077" t="inlineStr">
        <is>
          <t xml:space="preserve">Variation Réel 15 / B15 </t>
        </is>
      </c>
      <c r="AL58" s="1005" t="n"/>
      <c r="AM58" s="1006" t="n"/>
      <c r="AN58" s="930" t="n"/>
      <c r="AO58" s="941" t="n"/>
      <c r="AP58" s="1077" t="inlineStr">
        <is>
          <t xml:space="preserve">Variation Réel 15 / B15 </t>
        </is>
      </c>
      <c r="AQ58" s="1005" t="n"/>
      <c r="AR58" s="1006" t="n"/>
      <c r="AS58" s="941" t="n"/>
      <c r="AT58" s="941" t="n"/>
      <c r="AU58" s="1077" t="inlineStr">
        <is>
          <t xml:space="preserve">Variation Réel 15 / B15 </t>
        </is>
      </c>
      <c r="AV58" s="1005" t="n"/>
      <c r="AW58" s="1006" t="n"/>
      <c r="BF58" s="1315" t="n"/>
    </row>
    <row r="59">
      <c r="Z59" s="1069">
        <f>Z57/12</f>
        <v/>
      </c>
      <c r="AB59" s="538">
        <f>1+AB57</f>
        <v/>
      </c>
    </row>
    <row r="61">
      <c r="A61" s="66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W61" s="538" t="n"/>
      <c r="AH61" s="1316" t="n"/>
      <c r="AM61" s="1316" t="n"/>
      <c r="AR61" s="1316" t="n"/>
    </row>
    <row r="62">
      <c r="AF62" s="1069" t="n"/>
      <c r="AK62" s="1069" t="n"/>
      <c r="AP62" s="1069" t="n"/>
    </row>
    <row r="63">
      <c r="AK63" t="inlineStr">
        <is>
          <t>,</t>
        </is>
      </c>
    </row>
  </sheetData>
  <mergeCells count="22">
    <mergeCell ref="AK58:AM58"/>
    <mergeCell ref="X2:AB2"/>
    <mergeCell ref="BC2:BG2"/>
    <mergeCell ref="O2:R2"/>
    <mergeCell ref="Z58:AB58"/>
    <mergeCell ref="N2:N3"/>
    <mergeCell ref="B1:M1"/>
    <mergeCell ref="E2:M2"/>
    <mergeCell ref="AF58:AH58"/>
    <mergeCell ref="S2:W2"/>
    <mergeCell ref="AX2:BB2"/>
    <mergeCell ref="U58:W58"/>
    <mergeCell ref="O1:AB1"/>
    <mergeCell ref="AS2:AW2"/>
    <mergeCell ref="AN2:AR2"/>
    <mergeCell ref="AD2:AH2"/>
    <mergeCell ref="O58:P58"/>
    <mergeCell ref="AU58:AW58"/>
    <mergeCell ref="AP58:AR58"/>
    <mergeCell ref="AI2:AM2"/>
    <mergeCell ref="AS1:BG1"/>
    <mergeCell ref="B2:D2"/>
  </mergeCells>
  <pageMargins left="0.7" right="0.7" top="0.75" bottom="0.75" header="0.3" footer="0.3"/>
  <pageSetup orientation="landscape" paperSize="8" scale="36" fitToHeight="0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AH62"/>
  <sheetViews>
    <sheetView topLeftCell="A39" zoomScale="82" zoomScaleNormal="82" workbookViewId="0">
      <pane xSplit="1" topLeftCell="L1" activePane="topRight" state="frozen"/>
      <selection pane="topRight" activeCell="D25" sqref="D25"/>
    </sheetView>
  </sheetViews>
  <sheetFormatPr baseColWidth="10" defaultRowHeight="14.5"/>
  <cols>
    <col width="37" bestFit="1" customWidth="1" min="1" max="1"/>
    <col width="14.26953125" bestFit="1" customWidth="1" style="1003" min="2" max="2"/>
    <col width="15.54296875" customWidth="1" min="3" max="3"/>
    <col width="19.1796875" customWidth="1" min="4" max="4"/>
    <col width="17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customWidth="1" style="1003" min="9" max="9"/>
    <col width="17.7265625" bestFit="1" customWidth="1" style="1003" min="10" max="10"/>
    <col width="18.26953125" customWidth="1" style="1003" min="11" max="11"/>
    <col width="17.7265625" bestFit="1" customWidth="1" style="1003" min="12" max="12"/>
    <col width="16.453125" bestFit="1" customWidth="1" style="1003" min="13" max="13"/>
    <col width="31.26953125" bestFit="1" customWidth="1" style="1003" min="14" max="14"/>
    <col width="29.1796875" bestFit="1" customWidth="1" style="1003" min="15" max="15"/>
    <col width="34.453125" bestFit="1" customWidth="1" style="1003" min="16" max="16"/>
    <col width="19.1796875" bestFit="1" customWidth="1" style="1003" min="17" max="17"/>
    <col width="20.81640625" bestFit="1" customWidth="1" min="18" max="18"/>
    <col width="19.1796875" bestFit="1" customWidth="1" style="299" min="19" max="19"/>
    <col width="19.1796875" customWidth="1" style="299" min="20" max="20"/>
    <col width="20.81640625" bestFit="1" customWidth="1" min="21" max="21"/>
    <col width="19.1796875" bestFit="1" customWidth="1" style="299" min="22" max="22"/>
    <col width="18.26953125" bestFit="1" customWidth="1" min="23" max="23"/>
    <col width="104.7265625" bestFit="1" customWidth="1" min="24" max="24"/>
    <col width="24.7265625" customWidth="1" min="26" max="26"/>
  </cols>
  <sheetData>
    <row r="1" ht="27" customHeight="1" thickBot="1">
      <c r="B1" s="1004" t="inlineStr">
        <is>
          <t xml:space="preserve">CAP Janvier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018">
        <f>D4-B4</f>
        <v/>
      </c>
      <c r="D4" s="1019" t="n">
        <v>5402000</v>
      </c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E4+F4+I4+J4+K4+L4+M4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5000000</v>
      </c>
      <c r="S4" s="1026">
        <f>Q4-R4</f>
        <v/>
      </c>
      <c r="T4" s="491">
        <f>Q4/R4-1</f>
        <v/>
      </c>
      <c r="U4" s="1322" t="n">
        <v>0</v>
      </c>
      <c r="V4" s="1026">
        <f>Q4-U4</f>
        <v/>
      </c>
      <c r="W4" s="223">
        <f>(Q4/U4-1)</f>
        <v/>
      </c>
      <c r="X4" s="163" t="n"/>
      <c r="Z4" s="699" t="inlineStr">
        <is>
          <t>Afritramp C/O SAGA</t>
        </is>
      </c>
      <c r="AA4" s="700" t="inlineStr">
        <is>
          <t>project</t>
        </is>
      </c>
      <c r="AB4" s="701" t="inlineStr">
        <is>
          <t>Gest. Base Logistique</t>
        </is>
      </c>
      <c r="AC4" s="699" t="inlineStr">
        <is>
          <t>ABJ</t>
        </is>
      </c>
      <c r="AD4" s="702" t="inlineStr">
        <is>
          <t>40B00</t>
        </is>
      </c>
      <c r="AE4" s="703" t="n"/>
      <c r="AF4" s="704" t="n"/>
      <c r="AG4" s="705" t="n"/>
      <c r="AH4" s="706">
        <f>SUM(AE4:AG4)</f>
        <v/>
      </c>
    </row>
    <row r="5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E5+F5+I5+J5+K5+L5+M5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491">
        <f>Q5/R5-1</f>
        <v/>
      </c>
      <c r="U5" s="1322" t="n">
        <v>17397770</v>
      </c>
      <c r="V5" s="1026">
        <f>Q5-U5</f>
        <v/>
      </c>
      <c r="W5" s="223">
        <f>(Q5/U5-1)</f>
        <v/>
      </c>
      <c r="X5" s="163" t="n"/>
      <c r="Z5" s="699" t="inlineStr">
        <is>
          <t>Anadarko</t>
        </is>
      </c>
      <c r="AA5" s="700" t="inlineStr">
        <is>
          <t>project</t>
        </is>
      </c>
      <c r="AB5" s="701" t="inlineStr">
        <is>
          <t>Gest. Base Logistique</t>
        </is>
      </c>
      <c r="AC5" s="699" t="inlineStr">
        <is>
          <t>ABJ</t>
        </is>
      </c>
      <c r="AD5" s="702" t="inlineStr">
        <is>
          <t>40B00</t>
        </is>
      </c>
      <c r="AE5" s="707" t="n"/>
      <c r="AF5" s="708" t="n"/>
      <c r="AG5" s="709" t="n"/>
      <c r="AH5" s="710">
        <f>SUM(AE5:AG5)</f>
        <v/>
      </c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E6+F6+I6+J6+K6+L6+M6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491">
        <f>Q6/R6-1</f>
        <v/>
      </c>
      <c r="U6" s="1322" t="n">
        <v>0</v>
      </c>
      <c r="V6" s="1026">
        <f>Q6-U6</f>
        <v/>
      </c>
      <c r="W6" s="223">
        <f>(Q6/U6-1)</f>
        <v/>
      </c>
      <c r="X6" s="163" t="n"/>
      <c r="Z6" s="699" t="inlineStr">
        <is>
          <t>Baker Hugues</t>
        </is>
      </c>
      <c r="AA6" s="700" t="inlineStr">
        <is>
          <t>project</t>
        </is>
      </c>
      <c r="AB6" s="701" t="inlineStr">
        <is>
          <t>Gest. Base Logistique</t>
        </is>
      </c>
      <c r="AC6" s="699" t="inlineStr">
        <is>
          <t>ABJ</t>
        </is>
      </c>
      <c r="AD6" s="702" t="inlineStr">
        <is>
          <t>40B00</t>
        </is>
      </c>
      <c r="AE6" s="707" t="n"/>
      <c r="AF6" s="708" t="n">
        <v>25000</v>
      </c>
      <c r="AG6" s="709" t="n"/>
      <c r="AH6" s="710">
        <f>SUM(AE6:AG6)</f>
        <v/>
      </c>
    </row>
    <row r="7">
      <c r="A7" s="550">
        <f>'Cumul annuel'!A7</f>
        <v/>
      </c>
      <c r="B7" s="1321" t="n">
        <v>121125000</v>
      </c>
      <c r="C7" s="1018">
        <f>D7-B7</f>
        <v/>
      </c>
      <c r="D7" s="1019" t="n">
        <v>136700312</v>
      </c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E7+F7+I7+J7+K7+L7+M7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491">
        <f>Q7/R7-1</f>
        <v/>
      </c>
      <c r="U7" s="1322" t="n">
        <v>152560147</v>
      </c>
      <c r="V7" s="1026">
        <f>Q7-U7</f>
        <v/>
      </c>
      <c r="W7" s="223">
        <f>(Q7/U7-1)</f>
        <v/>
      </c>
      <c r="X7" s="163" t="n"/>
      <c r="Z7" s="699" t="inlineStr">
        <is>
          <t>CIAM</t>
        </is>
      </c>
      <c r="AA7" s="700" t="inlineStr">
        <is>
          <t>project</t>
        </is>
      </c>
      <c r="AB7" s="701" t="inlineStr">
        <is>
          <t>Gest. Base Logistique</t>
        </is>
      </c>
      <c r="AC7" s="699" t="inlineStr">
        <is>
          <t>ABJ</t>
        </is>
      </c>
      <c r="AD7" s="702" t="inlineStr">
        <is>
          <t>40B00</t>
        </is>
      </c>
      <c r="AE7" s="707" t="n"/>
      <c r="AF7" s="708" t="n"/>
      <c r="AG7" s="709" t="n"/>
      <c r="AH7" s="710">
        <f>SUM(AE7:AG7)</f>
        <v/>
      </c>
    </row>
    <row r="8">
      <c r="A8" s="550">
        <f>'Cumul annuel'!A8</f>
        <v/>
      </c>
      <c r="B8" s="1321" t="n"/>
      <c r="C8" s="1018">
        <f>D8-B8</f>
        <v/>
      </c>
      <c r="D8" s="1019" t="n">
        <v>2803680</v>
      </c>
      <c r="E8" s="1020" t="n"/>
      <c r="F8" s="1020" t="n"/>
      <c r="G8" s="1021" t="n">
        <v>10296182</v>
      </c>
      <c r="H8" s="1021" t="n">
        <v>512298</v>
      </c>
      <c r="I8" s="1020">
        <f>G8+H8</f>
        <v/>
      </c>
      <c r="J8" s="1020" t="n"/>
      <c r="K8" s="1020" t="n"/>
      <c r="L8" s="1020" t="n"/>
      <c r="M8" s="1020" t="n"/>
      <c r="N8" s="1022">
        <f>E8+F8+I8+J8+K8+L8+M8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2800000</v>
      </c>
      <c r="S8" s="1026">
        <f>Q8-R8</f>
        <v/>
      </c>
      <c r="T8" s="491">
        <f>Q8/R8-1</f>
        <v/>
      </c>
      <c r="U8" s="1322" t="n">
        <v>0</v>
      </c>
      <c r="V8" s="1026">
        <f>Q8-U8</f>
        <v/>
      </c>
      <c r="W8" s="223">
        <f>(Q8/U8-1)</f>
        <v/>
      </c>
      <c r="X8" s="163" t="n"/>
      <c r="Z8" s="699" t="inlineStr">
        <is>
          <t>CNR</t>
        </is>
      </c>
      <c r="AA8" s="700" t="inlineStr">
        <is>
          <t>project</t>
        </is>
      </c>
      <c r="AB8" s="701" t="inlineStr">
        <is>
          <t>Gest. Base Logistique</t>
        </is>
      </c>
      <c r="AC8" s="699" t="inlineStr">
        <is>
          <t>ABJ</t>
        </is>
      </c>
      <c r="AD8" s="702" t="inlineStr">
        <is>
          <t>40B00</t>
        </is>
      </c>
      <c r="AE8" s="707" t="n"/>
      <c r="AF8" s="708" t="n">
        <v>90000</v>
      </c>
      <c r="AG8" s="709" t="n"/>
      <c r="AH8" s="710">
        <f>SUM(AE8:AG8)</f>
        <v/>
      </c>
    </row>
    <row r="9">
      <c r="A9" s="550">
        <f>'Cumul annuel'!A9</f>
        <v/>
      </c>
      <c r="B9" s="1321" t="n"/>
      <c r="C9" s="1018">
        <f>D9-B9</f>
        <v/>
      </c>
      <c r="D9" s="1019" t="n">
        <v>1363000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E9+F9+I9+J9+K9+L9+M9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491">
        <f>Q9/R9-1</f>
        <v/>
      </c>
      <c r="U9" s="1322" t="n">
        <v>0</v>
      </c>
      <c r="V9" s="1026">
        <f>Q9-U9</f>
        <v/>
      </c>
      <c r="W9" s="223">
        <f>(Q9/U9-1)</f>
        <v/>
      </c>
      <c r="X9" s="163" t="n"/>
      <c r="Z9" s="699" t="inlineStr">
        <is>
          <t>DIVERS/Various customer</t>
        </is>
      </c>
      <c r="AA9" s="700" t="inlineStr">
        <is>
          <t>project</t>
        </is>
      </c>
      <c r="AB9" s="701" t="inlineStr">
        <is>
          <t>Gest. Base Logistique</t>
        </is>
      </c>
      <c r="AC9" s="699" t="inlineStr">
        <is>
          <t>ABJ</t>
        </is>
      </c>
      <c r="AD9" s="702" t="inlineStr">
        <is>
          <t>40B00</t>
        </is>
      </c>
      <c r="AE9" s="707" t="n">
        <v>33840</v>
      </c>
      <c r="AF9" s="708" t="n">
        <v>179596</v>
      </c>
      <c r="AG9" s="709" t="n"/>
      <c r="AH9" s="710">
        <f>SUM(AE9:AG9)</f>
        <v/>
      </c>
    </row>
    <row r="10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E10+F10+I10+J10+K10+L10+M10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491">
        <f>Q10/R10-1</f>
        <v/>
      </c>
      <c r="U10" s="1322" t="n">
        <v>0</v>
      </c>
      <c r="V10" s="1026">
        <f>Q10-U10</f>
        <v/>
      </c>
      <c r="W10" s="223">
        <f>(Q10/U10-1)</f>
        <v/>
      </c>
      <c r="X10" s="163" t="n"/>
      <c r="Z10" s="699" t="inlineStr">
        <is>
          <t>EXPRO GROUP NORTH SEA / S-Traitant</t>
        </is>
      </c>
      <c r="AA10" s="700" t="inlineStr">
        <is>
          <t>project</t>
        </is>
      </c>
      <c r="AB10" s="701" t="inlineStr">
        <is>
          <t>Gest. Base Logistique</t>
        </is>
      </c>
      <c r="AC10" s="699" t="inlineStr">
        <is>
          <t>ABJ</t>
        </is>
      </c>
      <c r="AD10" s="702" t="inlineStr">
        <is>
          <t>40B00</t>
        </is>
      </c>
      <c r="AE10" s="707" t="n"/>
      <c r="AF10" s="708" t="n">
        <v>5000</v>
      </c>
      <c r="AG10" s="709" t="n"/>
      <c r="AH10" s="710">
        <f>SUM(AE10:AG10)</f>
        <v/>
      </c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>
        <v>11198009</v>
      </c>
      <c r="H11" s="1021" t="n"/>
      <c r="I11" s="1020">
        <f>G11+H11</f>
        <v/>
      </c>
      <c r="J11" s="1020" t="n"/>
      <c r="K11" s="1020" t="n">
        <v>21000000</v>
      </c>
      <c r="L11" s="1020" t="n">
        <v>2368000</v>
      </c>
      <c r="M11" s="1020" t="n"/>
      <c r="N11" s="1022">
        <f>E11+F11+I11+J11+K11+L11+M11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491">
        <f>Q11/R11-1</f>
        <v/>
      </c>
      <c r="U11" s="1322" t="n">
        <v>0</v>
      </c>
      <c r="V11" s="1026">
        <f>Q11-U11</f>
        <v/>
      </c>
      <c r="W11" s="223">
        <f>(Q11/U11-1)</f>
        <v/>
      </c>
      <c r="X11" s="163" t="n"/>
      <c r="Z11" s="699" t="inlineStr">
        <is>
          <t>FOXTROT</t>
        </is>
      </c>
      <c r="AA11" s="700" t="inlineStr">
        <is>
          <t>project</t>
        </is>
      </c>
      <c r="AB11" s="701" t="inlineStr">
        <is>
          <t>Gest. Base Logistique</t>
        </is>
      </c>
      <c r="AC11" s="699" t="inlineStr">
        <is>
          <t>ABJ</t>
        </is>
      </c>
      <c r="AD11" s="702" t="inlineStr">
        <is>
          <t>40B00</t>
        </is>
      </c>
      <c r="AE11" s="707" t="n"/>
      <c r="AF11" s="708" t="n">
        <v>600000</v>
      </c>
      <c r="AG11" s="709" t="n"/>
      <c r="AH11" s="710">
        <f>SUM(AE11:AG11)</f>
        <v/>
      </c>
    </row>
    <row r="12">
      <c r="A12" s="550" t="inlineStr">
        <is>
          <t>DIVERS CLIENTS</t>
        </is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>
        <v>432890</v>
      </c>
      <c r="I12" s="1020">
        <f>G12+H12</f>
        <v/>
      </c>
      <c r="J12" s="1020" t="n"/>
      <c r="K12" s="1020" t="n"/>
      <c r="L12" s="1020" t="n">
        <v>902006</v>
      </c>
      <c r="M12" s="1020" t="n"/>
      <c r="N12" s="1022">
        <f>E12+F12+I12+J12+K12+L12+M12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25341612</v>
      </c>
      <c r="S12" s="1026">
        <f>Q12-R12</f>
        <v/>
      </c>
      <c r="T12" s="491">
        <f>Q12/R12-1</f>
        <v/>
      </c>
      <c r="U12" s="1322" t="n">
        <v>1050000</v>
      </c>
      <c r="V12" s="1026">
        <f>Q12-U12</f>
        <v/>
      </c>
      <c r="W12" s="223">
        <f>(Q12/U12-1)</f>
        <v/>
      </c>
      <c r="X12" s="163" t="n"/>
      <c r="Z12" s="699" t="inlineStr">
        <is>
          <t>GLOBAL ENERGY</t>
        </is>
      </c>
      <c r="AA12" s="700" t="inlineStr">
        <is>
          <t>project</t>
        </is>
      </c>
      <c r="AB12" s="701" t="inlineStr">
        <is>
          <t>Gest. Base Logistique</t>
        </is>
      </c>
      <c r="AC12" s="699" t="inlineStr">
        <is>
          <t>ABJ</t>
        </is>
      </c>
      <c r="AD12" s="702" t="inlineStr">
        <is>
          <t>40B00</t>
        </is>
      </c>
      <c r="AE12" s="707" t="n">
        <v>24672</v>
      </c>
      <c r="AF12" s="708" t="n">
        <v>5328</v>
      </c>
      <c r="AG12" s="709" t="n"/>
      <c r="AH12" s="710">
        <f>SUM(AE12:AG12)</f>
        <v/>
      </c>
    </row>
    <row r="13">
      <c r="A13" s="550" t="inlineStr">
        <is>
          <t>CNR - ICM CONTRAT BATEAU SURFER</t>
        </is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E13+F13+I13+J13+K13+L13+M13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491">
        <f>Q13/R13-1</f>
        <v/>
      </c>
      <c r="U13" s="1322" t="n">
        <v>0</v>
      </c>
      <c r="V13" s="1026">
        <f>Q13-U13</f>
        <v/>
      </c>
      <c r="W13" s="223">
        <f>(Q13/U13-1)</f>
        <v/>
      </c>
      <c r="X13" s="163" t="n"/>
      <c r="Z13" s="699" t="inlineStr">
        <is>
          <t>HALLIBURTON</t>
        </is>
      </c>
      <c r="AA13" s="700" t="inlineStr">
        <is>
          <t>project</t>
        </is>
      </c>
      <c r="AB13" s="701" t="inlineStr">
        <is>
          <t>Gest. Base Logistique</t>
        </is>
      </c>
      <c r="AC13" s="699" t="inlineStr">
        <is>
          <t>ABJ</t>
        </is>
      </c>
      <c r="AD13" s="702" t="inlineStr">
        <is>
          <t>40B00</t>
        </is>
      </c>
      <c r="AE13" s="707" t="n"/>
      <c r="AF13" s="708" t="n">
        <v>20000</v>
      </c>
      <c r="AG13" s="709" t="n"/>
      <c r="AH13" s="710">
        <f>SUM(AE13:AG13)</f>
        <v/>
      </c>
    </row>
    <row r="14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E14+F14+I14+J14+K14+L14+M14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491">
        <f>Q14/R14-1</f>
        <v/>
      </c>
      <c r="U14" s="1322" t="n">
        <v>0</v>
      </c>
      <c r="V14" s="1026">
        <f>Q14-U14</f>
        <v/>
      </c>
      <c r="W14" s="223">
        <f>(Q14/U14-1)</f>
        <v/>
      </c>
      <c r="X14" s="163" t="n"/>
      <c r="Z14" s="711" t="inlineStr">
        <is>
          <t>MI</t>
        </is>
      </c>
      <c r="AA14" s="700" t="inlineStr">
        <is>
          <t>project</t>
        </is>
      </c>
      <c r="AB14" s="701" t="inlineStr">
        <is>
          <t>Gest. Base Logistique</t>
        </is>
      </c>
      <c r="AC14" s="699" t="inlineStr">
        <is>
          <t>ABJ</t>
        </is>
      </c>
      <c r="AD14" s="702" t="inlineStr">
        <is>
          <t>40B00</t>
        </is>
      </c>
      <c r="AE14" s="707" t="n"/>
      <c r="AF14" s="708" t="n"/>
      <c r="AG14" s="709" t="n"/>
      <c r="AH14" s="710">
        <f>SUM(AE14:AG14)</f>
        <v/>
      </c>
    </row>
    <row r="15">
      <c r="A15" s="550">
        <f>'Cumul annuel'!A15</f>
        <v/>
      </c>
      <c r="B15" s="1321" t="n">
        <v>13750000</v>
      </c>
      <c r="C15" s="1018">
        <f>D15-B15</f>
        <v/>
      </c>
      <c r="D15" s="1019" t="n">
        <v>22461100</v>
      </c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>
        <v>35576</v>
      </c>
      <c r="N15" s="1022">
        <f>E15+F15+I15+J15+K15+L15+M15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491">
        <f>Q15/R15-1</f>
        <v/>
      </c>
      <c r="U15" s="1322" t="n">
        <v>4270000</v>
      </c>
      <c r="V15" s="1026">
        <f>Q15-U15</f>
        <v/>
      </c>
      <c r="W15" s="223">
        <f>(Q15/U15-1)</f>
        <v/>
      </c>
      <c r="X15" s="163" t="n"/>
      <c r="Z15" s="699" t="inlineStr">
        <is>
          <t>NOPCI - MODEC</t>
        </is>
      </c>
      <c r="AA15" s="700" t="inlineStr">
        <is>
          <t>project</t>
        </is>
      </c>
      <c r="AB15" s="701" t="inlineStr">
        <is>
          <t>Gest. Base Logistique</t>
        </is>
      </c>
      <c r="AC15" s="699" t="inlineStr">
        <is>
          <t>ABJ</t>
        </is>
      </c>
      <c r="AD15" s="702" t="inlineStr">
        <is>
          <t>40B00</t>
        </is>
      </c>
      <c r="AE15" s="707" t="n"/>
      <c r="AF15" s="708" t="n">
        <v>30000</v>
      </c>
      <c r="AG15" s="709" t="n"/>
      <c r="AH15" s="710">
        <f>SUM(AE15:AG15)</f>
        <v/>
      </c>
    </row>
    <row r="16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E16+F16+I16+J16+K16+L16+M16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491">
        <f>Q16/R16-1</f>
        <v/>
      </c>
      <c r="U16" s="1322" t="n">
        <v>1200000</v>
      </c>
      <c r="V16" s="1026">
        <f>Q16-U16</f>
        <v/>
      </c>
      <c r="W16" s="223">
        <f>(Q16/U16-1)</f>
        <v/>
      </c>
      <c r="X16" s="163" t="n"/>
      <c r="Z16" s="699" t="inlineStr">
        <is>
          <t>Prosafe</t>
        </is>
      </c>
      <c r="AA16" s="700" t="inlineStr">
        <is>
          <t>project</t>
        </is>
      </c>
      <c r="AB16" s="701" t="inlineStr">
        <is>
          <t>Gest. Base Logistique</t>
        </is>
      </c>
      <c r="AC16" s="699" t="inlineStr">
        <is>
          <t>ABJ</t>
        </is>
      </c>
      <c r="AD16" s="702" t="inlineStr">
        <is>
          <t>40B00</t>
        </is>
      </c>
      <c r="AE16" s="707" t="n"/>
      <c r="AF16" s="708" t="n">
        <v>50000</v>
      </c>
      <c r="AG16" s="709" t="n"/>
      <c r="AH16" s="710">
        <f>SUM(AE16:AG16)</f>
        <v/>
      </c>
    </row>
    <row r="17">
      <c r="A17" s="550">
        <f>'Cumul annuel'!A17</f>
        <v/>
      </c>
      <c r="B17" s="1321" t="n">
        <v>54314000</v>
      </c>
      <c r="C17" s="1018">
        <f>D17-B17</f>
        <v/>
      </c>
      <c r="D17" s="1019" t="n">
        <v>85206984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>
        <v>219758</v>
      </c>
      <c r="M17" s="1020" t="n"/>
      <c r="N17" s="1022">
        <f>E17+F17+I17+J17+K17+L17+M17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491">
        <f>Q17/R17-1</f>
        <v/>
      </c>
      <c r="U17" s="1322" t="n">
        <v>58927025</v>
      </c>
      <c r="V17" s="1026">
        <f>Q17-U17</f>
        <v/>
      </c>
      <c r="W17" s="223">
        <f>(Q17/U17-1)</f>
        <v/>
      </c>
      <c r="X17" s="163" t="n"/>
      <c r="Z17" s="699" t="inlineStr">
        <is>
          <t>SDV Logistic Singapore (Prosafe)</t>
        </is>
      </c>
      <c r="AA17" s="700" t="inlineStr">
        <is>
          <t>project</t>
        </is>
      </c>
      <c r="AB17" s="701" t="inlineStr">
        <is>
          <t>Gest. Base Logistique</t>
        </is>
      </c>
      <c r="AC17" s="699" t="inlineStr">
        <is>
          <t>ABJ</t>
        </is>
      </c>
      <c r="AD17" s="702" t="inlineStr">
        <is>
          <t>40B00</t>
        </is>
      </c>
      <c r="AE17" s="707" t="n"/>
      <c r="AF17" s="708" t="n"/>
      <c r="AG17" s="709" t="n"/>
      <c r="AH17" s="710">
        <f>SUM(AE17:AG17)</f>
        <v/>
      </c>
    </row>
    <row r="18">
      <c r="A18" s="550">
        <f>'Cumul annuel'!A18</f>
        <v/>
      </c>
      <c r="B18" s="1321" t="n"/>
      <c r="C18" s="1018">
        <f>D18-B18</f>
        <v/>
      </c>
      <c r="D18" s="1019" t="n">
        <v>7082824</v>
      </c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E18+F18+I18+J18+K18+L18+M18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7000000</v>
      </c>
      <c r="S18" s="1026">
        <f>Q18-R18</f>
        <v/>
      </c>
      <c r="T18" s="491">
        <f>Q18/R18-1</f>
        <v/>
      </c>
      <c r="U18" s="1322" t="n">
        <v>0</v>
      </c>
      <c r="V18" s="1026">
        <f>Q18-U18</f>
        <v/>
      </c>
      <c r="W18" s="223">
        <f>(Q18/U18-1)</f>
        <v/>
      </c>
      <c r="X18" s="163" t="n"/>
      <c r="Z18" s="699" t="inlineStr">
        <is>
          <t>SCHLUMBERGER</t>
        </is>
      </c>
      <c r="AA18" s="700" t="inlineStr">
        <is>
          <t>project</t>
        </is>
      </c>
      <c r="AB18" s="701" t="inlineStr">
        <is>
          <t>Gest. Base Logistique</t>
        </is>
      </c>
      <c r="AC18" s="699" t="inlineStr">
        <is>
          <t>ABJ</t>
        </is>
      </c>
      <c r="AD18" s="702" t="inlineStr">
        <is>
          <t>40B00</t>
        </is>
      </c>
      <c r="AE18" s="707" t="n"/>
      <c r="AF18" s="708" t="n">
        <v>100000</v>
      </c>
      <c r="AG18" s="709" t="n"/>
      <c r="AH18" s="710">
        <f>SUM(AE18:AG18)</f>
        <v/>
      </c>
    </row>
    <row r="19">
      <c r="A19" s="550">
        <f>'Cumul annuel'!A19</f>
        <v/>
      </c>
      <c r="B19" s="1321" t="n">
        <v>2966000</v>
      </c>
      <c r="C19" s="1018">
        <f>D19-B19</f>
        <v/>
      </c>
      <c r="D19" s="1019" t="n">
        <v>4447279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E19+F19+I19+J19+K19+L19+M19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491">
        <f>Q19/R19-1</f>
        <v/>
      </c>
      <c r="U19" s="1322" t="n">
        <v>5749730</v>
      </c>
      <c r="V19" s="1026">
        <f>Q19-U19</f>
        <v/>
      </c>
      <c r="W19" s="223">
        <f>(Q19/U19-1)</f>
        <v/>
      </c>
      <c r="X19" s="163" t="n"/>
      <c r="Z19" s="699" t="inlineStr">
        <is>
          <t>SIR P/C Subtec</t>
        </is>
      </c>
      <c r="AA19" s="700" t="inlineStr">
        <is>
          <t>project</t>
        </is>
      </c>
      <c r="AB19" s="701" t="inlineStr">
        <is>
          <t>Gest. Base Logistique</t>
        </is>
      </c>
      <c r="AC19" s="699" t="inlineStr">
        <is>
          <t>ABJ</t>
        </is>
      </c>
      <c r="AD19" s="702" t="inlineStr">
        <is>
          <t>40B00</t>
        </is>
      </c>
      <c r="AE19" s="707" t="n"/>
      <c r="AF19" s="708" t="n"/>
      <c r="AG19" s="709" t="n"/>
      <c r="AH19" s="710">
        <f>SUM(AE19:AG19)</f>
        <v/>
      </c>
    </row>
    <row r="20">
      <c r="A20" s="550">
        <f>'Cumul annuel'!A20</f>
        <v/>
      </c>
      <c r="B20" s="1321" t="n"/>
      <c r="C20" s="1018">
        <f>D20-B20</f>
        <v/>
      </c>
      <c r="D20" s="1019" t="n">
        <v>3184000</v>
      </c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E20+F20+I20+J20+K20+L20+M20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3180000</v>
      </c>
      <c r="S20" s="1026">
        <f>Q20-R20</f>
        <v/>
      </c>
      <c r="T20" s="491">
        <f>Q20/R20-1</f>
        <v/>
      </c>
      <c r="U20" s="1322" t="n">
        <v>0</v>
      </c>
      <c r="V20" s="1026">
        <f>Q20-U20</f>
        <v/>
      </c>
      <c r="W20" s="223">
        <f>(Q20/U20-1)</f>
        <v/>
      </c>
      <c r="X20" s="163" t="n"/>
      <c r="Z20" s="699" t="inlineStr">
        <is>
          <t>SUBTEC</t>
        </is>
      </c>
      <c r="AA20" s="700" t="inlineStr">
        <is>
          <t>project</t>
        </is>
      </c>
      <c r="AB20" s="701" t="inlineStr">
        <is>
          <t>Gest. Base Logistique</t>
        </is>
      </c>
      <c r="AC20" s="699" t="inlineStr">
        <is>
          <t>ABJ</t>
        </is>
      </c>
      <c r="AD20" s="702" t="inlineStr">
        <is>
          <t>40B00</t>
        </is>
      </c>
      <c r="AE20" s="707" t="n">
        <v>9159</v>
      </c>
      <c r="AF20" s="708" t="n">
        <v>2841</v>
      </c>
      <c r="AG20" s="709" t="n"/>
      <c r="AH20" s="710">
        <f>SUM(AE20:AG20)</f>
        <v/>
      </c>
    </row>
    <row r="21">
      <c r="A21" s="550">
        <f>'Cumul annuel'!A21</f>
        <v/>
      </c>
      <c r="B21" s="1321" t="n">
        <v>41300000</v>
      </c>
      <c r="C21" s="1018">
        <f>D21-B21</f>
        <v/>
      </c>
      <c r="D21" s="1019" t="n">
        <v>46617365</v>
      </c>
      <c r="E21" s="1020" t="n">
        <v>2801201</v>
      </c>
      <c r="F21" s="1020" t="n"/>
      <c r="G21" s="1021" t="n">
        <v>16006847</v>
      </c>
      <c r="H21" s="1021" t="n">
        <v>467758</v>
      </c>
      <c r="I21" s="1020">
        <f>G21+H21</f>
        <v/>
      </c>
      <c r="J21" s="1020" t="n">
        <v>403263</v>
      </c>
      <c r="K21" s="1020" t="n"/>
      <c r="L21" s="1020" t="n"/>
      <c r="M21" s="1020" t="n"/>
      <c r="N21" s="1022">
        <f>E21+F21+I21+J21+K21+L21+M21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491">
        <f>Q21/R21-1</f>
        <v/>
      </c>
      <c r="U21" s="1322" t="n">
        <v>26628131</v>
      </c>
      <c r="V21" s="1026">
        <f>Q21-U21</f>
        <v/>
      </c>
      <c r="W21" s="223">
        <f>(Q21/U21-1)</f>
        <v/>
      </c>
      <c r="X21" s="163" t="n"/>
      <c r="Z21" s="699" t="inlineStr">
        <is>
          <t>Tetra</t>
        </is>
      </c>
      <c r="AA21" s="700" t="inlineStr">
        <is>
          <t>project</t>
        </is>
      </c>
      <c r="AB21" s="701" t="inlineStr">
        <is>
          <t>Gest. Base Logistique</t>
        </is>
      </c>
      <c r="AC21" s="699" t="inlineStr">
        <is>
          <t>ABJ</t>
        </is>
      </c>
      <c r="AD21" s="702" t="inlineStr">
        <is>
          <t>40B00</t>
        </is>
      </c>
      <c r="AE21" s="707" t="n"/>
      <c r="AF21" s="708" t="n"/>
      <c r="AG21" s="709" t="n"/>
      <c r="AH21" s="710">
        <f>SUM(AE21:AG21)</f>
        <v/>
      </c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6800202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E22+F22+I22+J22+K22+L22+M22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491">
        <f>Q22/R22-1</f>
        <v/>
      </c>
      <c r="U22" s="1322" t="n">
        <v>5674214</v>
      </c>
      <c r="V22" s="1026">
        <f>Q22-U22</f>
        <v/>
      </c>
      <c r="W22" s="223">
        <f>(Q22/U22-1)</f>
        <v/>
      </c>
      <c r="X22" s="163" t="n"/>
      <c r="Z22" s="699" t="inlineStr">
        <is>
          <t>TOTAL E&amp;P COTE D'IVOIRE</t>
        </is>
      </c>
      <c r="AA22" s="700" t="inlineStr">
        <is>
          <t>project</t>
        </is>
      </c>
      <c r="AB22" s="701" t="inlineStr">
        <is>
          <t>Gest. Base Logistique</t>
        </is>
      </c>
      <c r="AC22" s="699" t="inlineStr">
        <is>
          <t>ABJ</t>
        </is>
      </c>
      <c r="AD22" s="702" t="inlineStr">
        <is>
          <t>40B00</t>
        </is>
      </c>
      <c r="AE22" s="707" t="n"/>
      <c r="AF22" s="708" t="n">
        <v>150000</v>
      </c>
      <c r="AG22" s="709" t="n"/>
      <c r="AH22" s="710">
        <f>SUM(AE22:AG22)</f>
        <v/>
      </c>
    </row>
    <row r="23">
      <c r="A23" s="550">
        <f>'Cumul annuel'!A23</f>
        <v/>
      </c>
      <c r="B23" s="1321" t="n"/>
      <c r="C23" s="1018">
        <f>D23-B23</f>
        <v/>
      </c>
      <c r="D23" s="1019" t="n">
        <v>450000</v>
      </c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E23+F23+I23+J23+K23+L23+M23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450000</v>
      </c>
      <c r="S23" s="1026">
        <f>Q23-R23</f>
        <v/>
      </c>
      <c r="T23" s="491">
        <f>Q23/R23-1</f>
        <v/>
      </c>
      <c r="U23" s="1322" t="n">
        <v>0</v>
      </c>
      <c r="V23" s="1026">
        <f>Q23-U23</f>
        <v/>
      </c>
      <c r="W23" s="223">
        <f>(Q23/U23-1)</f>
        <v/>
      </c>
      <c r="X23" s="163" t="n"/>
      <c r="Z23" s="699" t="inlineStr">
        <is>
          <t>WEATHERFORD</t>
        </is>
      </c>
      <c r="AA23" s="700" t="inlineStr">
        <is>
          <t>project</t>
        </is>
      </c>
      <c r="AB23" s="701" t="inlineStr">
        <is>
          <t>Gest. Base Logistique</t>
        </is>
      </c>
      <c r="AC23" s="699" t="inlineStr">
        <is>
          <t>ABJ</t>
        </is>
      </c>
      <c r="AD23" s="702" t="inlineStr">
        <is>
          <t>40B00</t>
        </is>
      </c>
      <c r="AE23" s="707" t="n"/>
      <c r="AF23" s="708" t="n"/>
      <c r="AG23" s="709" t="n"/>
      <c r="AH23" s="710">
        <f>SUM(AE23:AG23)</f>
        <v/>
      </c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>
        <v>717489</v>
      </c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E24+F24+I24+J24+K24+L24+M24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491">
        <f>Q24/R24-1</f>
        <v/>
      </c>
      <c r="U24" s="1322" t="n">
        <v>74975</v>
      </c>
      <c r="V24" s="1026">
        <f>Q24-U24</f>
        <v/>
      </c>
      <c r="W24" s="223">
        <f>(Q24/U24-1)</f>
        <v/>
      </c>
      <c r="X24" s="163" t="n"/>
      <c r="Z24" s="699" t="inlineStr">
        <is>
          <t>IMAR</t>
        </is>
      </c>
      <c r="AA24" s="700" t="inlineStr">
        <is>
          <t>project</t>
        </is>
      </c>
      <c r="AB24" s="701" t="inlineStr">
        <is>
          <t>Gest. Base Logistique</t>
        </is>
      </c>
      <c r="AC24" s="699" t="inlineStr">
        <is>
          <t>ABJ</t>
        </is>
      </c>
      <c r="AD24" s="702" t="inlineStr">
        <is>
          <t>40B00</t>
        </is>
      </c>
      <c r="AE24" s="707" t="n"/>
      <c r="AF24" s="708" t="n"/>
      <c r="AG24" s="708" t="n">
        <v>50000</v>
      </c>
      <c r="AH24" s="710">
        <f>SUM(AE24:AG24)</f>
        <v/>
      </c>
    </row>
    <row r="25">
      <c r="A25" s="550">
        <f>'Cumul annuel'!A25</f>
        <v/>
      </c>
      <c r="B25" s="1321" t="n"/>
      <c r="C25" s="1018">
        <f>D25-B25</f>
        <v/>
      </c>
      <c r="D25" s="1019" t="n">
        <v>480000</v>
      </c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E25+F25+I25+J25+K25+L25+M25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480000</v>
      </c>
      <c r="S25" s="1026">
        <f>Q25-R25</f>
        <v/>
      </c>
      <c r="T25" s="491">
        <f>Q25/R25-1</f>
        <v/>
      </c>
      <c r="U25" s="1322" t="n">
        <v>0</v>
      </c>
      <c r="V25" s="1026">
        <f>Q25-U25</f>
        <v/>
      </c>
      <c r="W25" s="223">
        <f>(Q25/U25-1)</f>
        <v/>
      </c>
      <c r="X25" s="163" t="n"/>
      <c r="Z25" s="699" t="inlineStr">
        <is>
          <t>EMAR</t>
        </is>
      </c>
      <c r="AA25" s="700" t="inlineStr">
        <is>
          <t>project</t>
        </is>
      </c>
      <c r="AB25" s="701" t="inlineStr">
        <is>
          <t>Gest. Base Logistique</t>
        </is>
      </c>
      <c r="AC25" s="699" t="inlineStr">
        <is>
          <t>ABJ</t>
        </is>
      </c>
      <c r="AD25" s="702" t="inlineStr">
        <is>
          <t>40B00</t>
        </is>
      </c>
      <c r="AE25" s="707" t="n"/>
      <c r="AF25" s="708" t="n"/>
      <c r="AG25" s="708" t="n">
        <v>40000</v>
      </c>
      <c r="AH25" s="710">
        <f>SUM(AE25:AG25)</f>
        <v/>
      </c>
    </row>
    <row r="26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E26+F26+I26+J26+K26+L26+M26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491">
        <f>Q26/R26-1</f>
        <v/>
      </c>
      <c r="U26" s="1322" t="n">
        <v>-3635400</v>
      </c>
      <c r="V26" s="1026">
        <f>Q26-U26</f>
        <v/>
      </c>
      <c r="W26" s="223">
        <f>(Q26/U26-1)</f>
        <v/>
      </c>
      <c r="X26" s="163" t="n"/>
      <c r="Z26" s="699" t="inlineStr">
        <is>
          <t>IAER/EAER</t>
        </is>
      </c>
      <c r="AA26" s="700" t="inlineStr">
        <is>
          <t>project</t>
        </is>
      </c>
      <c r="AB26" s="701" t="inlineStr">
        <is>
          <t>Gest. Base Logistique</t>
        </is>
      </c>
      <c r="AC26" s="699" t="inlineStr">
        <is>
          <t>ABJ</t>
        </is>
      </c>
      <c r="AD26" s="702" t="inlineStr">
        <is>
          <t>40B00</t>
        </is>
      </c>
      <c r="AE26" s="707" t="n"/>
      <c r="AF26" s="708" t="n"/>
      <c r="AG26" s="708" t="n">
        <v>50000</v>
      </c>
      <c r="AH26" s="710">
        <f>SUM(AE26:AG26)</f>
        <v/>
      </c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E27+F27+I27+J27+K27+L27+M27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491">
        <f>Q27/R27-1</f>
        <v/>
      </c>
      <c r="U27" s="1322" t="n">
        <v>0</v>
      </c>
      <c r="V27" s="1026">
        <f>Q27-U27</f>
        <v/>
      </c>
      <c r="W27" s="223">
        <f>(Q27/U27-1)</f>
        <v/>
      </c>
      <c r="X27" s="163" t="n"/>
      <c r="Z27" s="699" t="inlineStr">
        <is>
          <t>HINTERLAND</t>
        </is>
      </c>
      <c r="AA27" s="700" t="inlineStr">
        <is>
          <t>project</t>
        </is>
      </c>
      <c r="AB27" s="701" t="inlineStr">
        <is>
          <t>Gest. Base Logistique</t>
        </is>
      </c>
      <c r="AC27" s="699" t="inlineStr">
        <is>
          <t>ABJ</t>
        </is>
      </c>
      <c r="AD27" s="702" t="inlineStr">
        <is>
          <t>40B00</t>
        </is>
      </c>
      <c r="AE27" s="707" t="n"/>
      <c r="AF27" s="708" t="n"/>
      <c r="AG27" s="708" t="n">
        <v>15000</v>
      </c>
      <c r="AH27" s="710">
        <f>SUM(AE27:AG27)</f>
        <v/>
      </c>
    </row>
    <row r="28">
      <c r="A28" s="550">
        <f>'Cumul annuel'!A28</f>
        <v/>
      </c>
      <c r="B28" s="1321" t="n">
        <v>1450000</v>
      </c>
      <c r="C28" s="1018">
        <f>D28-B28</f>
        <v/>
      </c>
      <c r="D28" s="1019" t="n">
        <v>3602000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E28+F28+I28+J28+K28+L28+M28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491">
        <f>Q28/R28-1</f>
        <v/>
      </c>
      <c r="U28" s="1322" t="n">
        <v>1714500</v>
      </c>
      <c r="V28" s="1026">
        <f>Q28-U28</f>
        <v/>
      </c>
      <c r="W28" s="223">
        <f>(Q28/U28-1)</f>
        <v/>
      </c>
      <c r="X28" s="163" t="n"/>
      <c r="Z28" s="699" t="inlineStr">
        <is>
          <t>Sapura Kencana Drilling</t>
        </is>
      </c>
      <c r="AA28" s="700" t="inlineStr">
        <is>
          <t>project</t>
        </is>
      </c>
      <c r="AB28" s="701" t="inlineStr">
        <is>
          <t>Gest. Base Logistique</t>
        </is>
      </c>
      <c r="AC28" s="699" t="inlineStr">
        <is>
          <t>ABJ</t>
        </is>
      </c>
      <c r="AD28" s="702" t="inlineStr">
        <is>
          <t>40B00</t>
        </is>
      </c>
      <c r="AE28" s="707" t="n"/>
      <c r="AF28" s="708" t="n"/>
      <c r="AG28" s="708" t="n"/>
      <c r="AH28" s="710">
        <f>SUM(AE28:AG28)</f>
        <v/>
      </c>
    </row>
    <row r="29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E29+F29+I29+J29+K29+L29+M29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491">
        <f>Q29/R29-1</f>
        <v/>
      </c>
      <c r="U29" s="1322" t="n">
        <v>233319061</v>
      </c>
      <c r="V29" s="1026">
        <f>Q29-U29</f>
        <v/>
      </c>
      <c r="W29" s="223">
        <f>(Q29/U29-1)</f>
        <v/>
      </c>
      <c r="X29" s="163" t="n"/>
      <c r="Z29" s="699" t="inlineStr">
        <is>
          <t>Divers projets</t>
        </is>
      </c>
      <c r="AA29" s="700" t="n"/>
      <c r="AB29" s="701" t="n"/>
      <c r="AC29" s="699" t="n"/>
      <c r="AD29" s="702" t="n"/>
      <c r="AE29" s="707" t="n"/>
      <c r="AF29" s="708" t="n">
        <v>120000</v>
      </c>
      <c r="AG29" s="708" t="n"/>
      <c r="AH29" s="710">
        <f>SUM(AE29:AG29)</f>
        <v/>
      </c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E30+F30+I30+J30+K30+L30+M30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491">
        <f>Q30/R30-1</f>
        <v/>
      </c>
      <c r="U30" s="1322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E31+F31+I31+J31+K31+L31+M31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491">
        <f>Q31/R31-1</f>
        <v/>
      </c>
      <c r="U31" s="1322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E32+F32+I32+J32+K32+L32+M32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491">
        <f>Q32/R32-1</f>
        <v/>
      </c>
      <c r="U32" s="1322" t="n">
        <v>0</v>
      </c>
      <c r="V32" s="1026">
        <f>Q32-U32</f>
        <v/>
      </c>
      <c r="W32" s="223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E33+F33+I33+J33+K33+L33+M33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491">
        <f>Q33/R33-1</f>
        <v/>
      </c>
      <c r="U33" s="1322" t="n">
        <v>0</v>
      </c>
      <c r="V33" s="1026">
        <f>Q33-U33</f>
        <v/>
      </c>
      <c r="W33" s="223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E34+F34+I34+J34+K34+L34+M34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491">
        <f>Q34/R34-1</f>
        <v/>
      </c>
      <c r="U34" s="1322" t="n">
        <v>0</v>
      </c>
      <c r="V34" s="1026">
        <f>Q34-U34</f>
        <v/>
      </c>
      <c r="W34" s="223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>
        <v>240415</v>
      </c>
      <c r="H35" s="1021" t="n">
        <v>605227</v>
      </c>
      <c r="I35" s="1020">
        <f>G35+H35</f>
        <v/>
      </c>
      <c r="J35" s="1020" t="n"/>
      <c r="K35" s="1020" t="n"/>
      <c r="L35" s="1020" t="n"/>
      <c r="M35" s="1020" t="n"/>
      <c r="N35" s="1022">
        <f>E35+F35+I35+J35+K35+L35+M35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491">
        <f>Q35/R35-1</f>
        <v/>
      </c>
      <c r="U35" s="1322" t="n">
        <v>0</v>
      </c>
      <c r="V35" s="1026">
        <f>Q35-U35</f>
        <v/>
      </c>
      <c r="W35" s="223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>
        <v>134144</v>
      </c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E36+F36+I36+J36+K36+L36+M36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491">
        <f>Q36/R36-1</f>
        <v/>
      </c>
      <c r="U36" s="1322" t="n">
        <v>6792435</v>
      </c>
      <c r="V36" s="1026">
        <f>Q36-U36</f>
        <v/>
      </c>
      <c r="W36" s="223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>
        <v>403263</v>
      </c>
      <c r="K37" s="1020" t="n"/>
      <c r="L37" s="1020" t="n"/>
      <c r="M37" s="1020" t="n"/>
      <c r="N37" s="1022">
        <f>E37+F37+I37+J37+K37+L37+M37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491">
        <f>Q37/R37-1</f>
        <v/>
      </c>
      <c r="U37" s="1322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>
        <v>20000000</v>
      </c>
      <c r="C38" s="1018">
        <f>D38-B38</f>
        <v/>
      </c>
      <c r="D38" s="1019" t="n">
        <v>60126620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4400000</v>
      </c>
      <c r="L38" s="1020" t="n"/>
      <c r="M38" s="1020" t="n"/>
      <c r="N38" s="1022">
        <f>E38+F38+I38+J38+K38+L38+M38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491">
        <f>Q38/R38-1</f>
        <v/>
      </c>
      <c r="U38" s="1322" t="n">
        <v>35357900</v>
      </c>
      <c r="V38" s="1026">
        <f>Q38-U38</f>
        <v/>
      </c>
      <c r="W38" s="223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>
        <v>1000000</v>
      </c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E39+F39+I39+J39+K39+L39+M39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491">
        <f>Q39/R39-1</f>
        <v/>
      </c>
      <c r="U39" s="1322" t="n">
        <v>0</v>
      </c>
      <c r="V39" s="1026">
        <f>Q39-U39</f>
        <v/>
      </c>
      <c r="W39" s="223">
        <f>(Q39/U39-1)</f>
        <v/>
      </c>
      <c r="X39" s="163" t="n"/>
    </row>
    <row r="40">
      <c r="A40" s="550" t="inlineStr">
        <is>
          <t>DOF SUBSEA</t>
        </is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E40+F40+I40+J40+K40+L40+M40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491">
        <f>Q40/R40-1</f>
        <v/>
      </c>
      <c r="U40" s="1322" t="n">
        <v>361080</v>
      </c>
      <c r="V40" s="1026">
        <f>Q40-U40</f>
        <v/>
      </c>
      <c r="W40" s="223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E41+F41+I41+J41+K41+L41+M41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491">
        <f>Q41/R41-1</f>
        <v/>
      </c>
      <c r="U41" s="1322" t="n">
        <v>0</v>
      </c>
      <c r="V41" s="1026">
        <f>Q41-U41</f>
        <v/>
      </c>
      <c r="W41" s="223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1527500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E42+F42+I42+J42+K42+L42+M42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491">
        <f>Q42/R42-1</f>
        <v/>
      </c>
      <c r="U42" s="1322" t="n">
        <v>763750</v>
      </c>
      <c r="V42" s="1026">
        <f>Q42-U42</f>
        <v/>
      </c>
      <c r="W42" s="223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E43+F43+I43+J43+K43+L43+M43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491">
        <f>Q43/R43-1</f>
        <v/>
      </c>
      <c r="U43" s="1322" t="n">
        <v>0</v>
      </c>
      <c r="V43" s="1026">
        <f>Q43-U43</f>
        <v/>
      </c>
      <c r="W43" s="223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>
        <v>955726</v>
      </c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E44+F44+I44+J44+K44+L44+M44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491">
        <f>Q44/R44-1</f>
        <v/>
      </c>
      <c r="U44" s="1322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>
        <v>22467500</v>
      </c>
      <c r="C45" s="1018">
        <f>D45-B45</f>
        <v/>
      </c>
      <c r="D45" s="1019" t="n">
        <v>56452638</v>
      </c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E45+F45+I45+J45+K45+L45+M45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491">
        <f>Q45/R45-1</f>
        <v/>
      </c>
      <c r="U45" s="1322" t="n">
        <v>55186128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E46+F46+I46+J46+K46+L46+M46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491">
        <f>Q46/R46-1</f>
        <v/>
      </c>
      <c r="U46" s="1322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>
        <v>18000000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E47+F47+I47+J47+K47+L47+M47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491">
        <f>Q47/R47-1</f>
        <v/>
      </c>
      <c r="U47" s="1322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E48+F48+I48+J48+K48+L48+M48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491">
        <f>Q48/R48-1</f>
        <v/>
      </c>
      <c r="U48" s="1322" t="n">
        <v>1355000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>
        <v>373904825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6385000</v>
      </c>
      <c r="M49" s="1020" t="n"/>
      <c r="N49" s="1022">
        <f>E49+F49+I49+J49+K49+L49+M49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491">
        <f>Q49/R49-1</f>
        <v/>
      </c>
      <c r="U49" s="1322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E50+F50+I50+J50+K50+L50+M50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491">
        <f>Q50/R50-1</f>
        <v/>
      </c>
      <c r="U50" s="1324" t="n">
        <v>0</v>
      </c>
      <c r="V50" s="1026">
        <f>Q50-U50</f>
        <v/>
      </c>
      <c r="W50" s="223">
        <f>(Q50/U50-1)</f>
        <v/>
      </c>
      <c r="X50" s="163" t="n"/>
    </row>
    <row r="51" ht="16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38">
        <f>SUM(J5:J50)</f>
        <v/>
      </c>
      <c r="K51" s="1325">
        <f>SUM(K5:K50)</f>
        <v/>
      </c>
      <c r="L51" s="1325">
        <f>SUM(L5:L50)</f>
        <v/>
      </c>
      <c r="M51" s="1325">
        <f>SUM(M5:M50)</f>
        <v/>
      </c>
      <c r="N51" s="1041">
        <f>J51+I51+F51+E51+K51+L51+M51</f>
        <v/>
      </c>
      <c r="O51" s="1326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25">
        <f>SUM(R4:R50)</f>
        <v/>
      </c>
      <c r="S51" s="1045">
        <f>Q51-R51</f>
        <v/>
      </c>
      <c r="T51" s="492">
        <f>Q51/R51-1</f>
        <v/>
      </c>
      <c r="U51" s="1327">
        <f>SUM(U4:U50)</f>
        <v/>
      </c>
      <c r="V51" s="1047">
        <f>Q51-U51</f>
        <v/>
      </c>
      <c r="W51" s="247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328" t="n"/>
      <c r="L52" s="1328" t="n"/>
      <c r="M52" s="1328" t="n"/>
      <c r="N52" s="1329">
        <f>J52+I52+F52+E52</f>
        <v/>
      </c>
      <c r="O52" s="1003">
        <f>N52+D52</f>
        <v/>
      </c>
      <c r="P52" s="235" t="inlineStr">
        <is>
          <t xml:space="preserve">Rétrocessions </t>
        </is>
      </c>
      <c r="Q52" s="240" t="n"/>
      <c r="R52" s="1330">
        <f>SUM(R53:R56)</f>
        <v/>
      </c>
      <c r="S52" s="233" t="n"/>
      <c r="T52" s="233" t="n"/>
      <c r="U52" s="133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718" t="n"/>
      <c r="C53" s="718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332" t="n"/>
      <c r="L53" s="1283" t="n"/>
      <c r="M53" s="1332" t="n"/>
      <c r="N53" s="1333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491">
        <f>Q53/R53-1</f>
        <v/>
      </c>
      <c r="U53" s="1071" t="n">
        <v>0</v>
      </c>
      <c r="V53" s="1334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335">
        <f>K51</f>
        <v/>
      </c>
      <c r="L54" s="1336">
        <f>L51</f>
        <v/>
      </c>
      <c r="M54" s="1335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491">
        <f>Q54/R54-1</f>
        <v/>
      </c>
      <c r="U54" s="1337" t="n">
        <v>2773579</v>
      </c>
      <c r="V54" s="1334">
        <f>Q54-U54</f>
        <v/>
      </c>
      <c r="W54" s="678">
        <f>(Q54/U54-1)</f>
        <v/>
      </c>
      <c r="X54" s="1338" t="n"/>
    </row>
    <row r="55" ht="18.5" customHeight="1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491">
        <f>Q55/R55-1</f>
        <v/>
      </c>
      <c r="U55" s="1337" t="n">
        <v>3081072</v>
      </c>
      <c r="V55" s="1334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 t="n"/>
      <c r="R56" s="1025" t="n"/>
      <c r="S56" s="1026" t="n"/>
      <c r="T56" s="491">
        <f>Q56/R56-1</f>
        <v/>
      </c>
      <c r="U56" s="1337" t="n">
        <v>188650</v>
      </c>
      <c r="V56" s="1334">
        <f>Q56-U56</f>
        <v/>
      </c>
      <c r="W56" s="678">
        <f>(Q56/U56-1)</f>
        <v/>
      </c>
      <c r="X56" s="1072" t="n"/>
    </row>
    <row r="57" ht="19" customHeight="1" thickBot="1">
      <c r="P57" s="1073" t="inlineStr">
        <is>
          <t>ACTIVITE O&amp;G</t>
        </is>
      </c>
      <c r="Q57" s="1074">
        <f>Q51+Q53+Q54+Q55+Q56</f>
        <v/>
      </c>
      <c r="R57" s="1339">
        <f>R51+R52</f>
        <v/>
      </c>
      <c r="S57" s="1339">
        <f>S51+S53+S54+S55+S56</f>
        <v/>
      </c>
      <c r="T57" s="792">
        <f>Q57/R57-1</f>
        <v/>
      </c>
      <c r="U57" s="1337">
        <f>U51+U53+U54+U55+U56</f>
        <v/>
      </c>
      <c r="V57" s="1339">
        <f>V51+V53+V54+V55+V56</f>
        <v/>
      </c>
      <c r="W57" s="791">
        <f>(Q57/U57-1)</f>
        <v/>
      </c>
      <c r="X57" s="1076" t="n"/>
    </row>
    <row r="58" ht="16" customHeight="1" thickBot="1">
      <c r="A58" s="793" t="inlineStr">
        <is>
          <t>Loyer</t>
        </is>
      </c>
      <c r="B58" s="1340">
        <f>B51</f>
        <v/>
      </c>
      <c r="C58" s="799">
        <f>B58/$B$61</f>
        <v/>
      </c>
      <c r="D58" s="794" t="n"/>
      <c r="P58" s="843" t="inlineStr">
        <is>
          <t>R23</t>
        </is>
      </c>
      <c r="Q58" s="1005" t="n"/>
      <c r="R58" s="997" t="inlineStr">
        <is>
          <t>Variation Réel 26 / B26</t>
        </is>
      </c>
      <c r="S58" s="1341" t="n"/>
      <c r="T58" s="145" t="n"/>
      <c r="U58" s="997" t="inlineStr">
        <is>
          <t>Variation Réel 26 / Réel 25</t>
        </is>
      </c>
      <c r="V58" s="1341" t="n"/>
      <c r="W58" s="145" t="n"/>
    </row>
    <row r="59" ht="18.5" customHeight="1">
      <c r="A59" s="793" t="inlineStr">
        <is>
          <t>LOGP</t>
        </is>
      </c>
      <c r="B59" s="1342">
        <f>C51</f>
        <v/>
      </c>
      <c r="C59" s="691">
        <f>B59/$B$61</f>
        <v/>
      </c>
      <c r="D59" s="795" t="n"/>
      <c r="R59" s="1343" t="n">
        <v>753952000</v>
      </c>
      <c r="W59" s="1344" t="n"/>
    </row>
    <row r="60">
      <c r="A60" s="793" t="inlineStr">
        <is>
          <t>Rétrocessions</t>
        </is>
      </c>
      <c r="B60" s="1342">
        <f>D52</f>
        <v/>
      </c>
      <c r="C60" s="691">
        <f>B60/$B$61</f>
        <v/>
      </c>
      <c r="D60" s="795" t="n"/>
    </row>
    <row r="61" ht="15" customHeight="1" thickBot="1">
      <c r="A61" s="793" t="inlineStr">
        <is>
          <t>Total CAP</t>
        </is>
      </c>
      <c r="B61" s="1345">
        <f>D54</f>
        <v/>
      </c>
      <c r="C61" s="796">
        <f>B61/$B$61</f>
        <v/>
      </c>
      <c r="D61" s="61" t="n"/>
    </row>
    <row r="62" ht="21" customHeight="1">
      <c r="R62" s="1346">
        <f>R59-R57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X65"/>
  <sheetViews>
    <sheetView topLeftCell="A29" zoomScale="81" zoomScaleNormal="81" workbookViewId="0">
      <pane xSplit="1" topLeftCell="D1" activePane="topRight" state="frozen"/>
      <selection pane="topRight" activeCell="K44" sqref="K44"/>
    </sheetView>
  </sheetViews>
  <sheetFormatPr baseColWidth="10" defaultRowHeight="14.5"/>
  <cols>
    <col width="37" bestFit="1" customWidth="1" min="1" max="1"/>
    <col width="15" bestFit="1" customWidth="1" style="1003" min="2" max="2"/>
    <col width="15.54296875" customWidth="1" min="3" max="3"/>
    <col width="19.1796875" customWidth="1" min="4" max="4"/>
    <col width="17.81640625" customWidth="1" min="5" max="5"/>
    <col width="16.54296875" customWidth="1" style="1003" min="6" max="6"/>
    <col width="17.81640625" bestFit="1" customWidth="1" style="1003" min="7" max="7"/>
    <col width="15.26953125" bestFit="1" customWidth="1" style="1003" min="8" max="8"/>
    <col width="17.7265625" customWidth="1" style="1003" min="9" max="9"/>
    <col width="17.7265625" bestFit="1" customWidth="1" style="1003" min="10" max="10"/>
    <col width="19.26953125" customWidth="1" style="1003" min="11" max="11"/>
    <col width="16.54296875" customWidth="1" style="1003" min="12" max="12"/>
    <col width="16.1796875" customWidth="1" style="1003" min="13" max="13"/>
    <col width="29.54296875" customWidth="1" style="1003" min="14" max="14"/>
    <col width="28.26953125" customWidth="1" style="1003" min="15" max="15"/>
    <col width="36.26953125" bestFit="1" customWidth="1" style="56" min="16" max="16"/>
    <col width="23.1796875" bestFit="1" customWidth="1" min="17" max="17"/>
    <col width="19.1796875" bestFit="1" customWidth="1" min="18" max="19"/>
    <col width="11.453125" bestFit="1" customWidth="1" min="20" max="20"/>
    <col width="19.54296875" bestFit="1" customWidth="1" min="21" max="21"/>
    <col width="19.26953125" bestFit="1" customWidth="1" min="22" max="22"/>
    <col width="8.7265625" bestFit="1" customWidth="1" min="23" max="23"/>
    <col width="100.81640625" bestFit="1" customWidth="1" min="24" max="24"/>
  </cols>
  <sheetData>
    <row r="1" ht="27" customHeight="1" thickBot="1">
      <c r="B1" s="1004" t="inlineStr">
        <is>
          <t xml:space="preserve">CAP Février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Départements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018">
        <f>D4-B4</f>
        <v/>
      </c>
      <c r="D4" s="1019" t="n">
        <v>7272500</v>
      </c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0</v>
      </c>
      <c r="S4" s="1026">
        <f>Q4-R4</f>
        <v/>
      </c>
      <c r="T4" s="678">
        <f>Q4/R4-1</f>
        <v/>
      </c>
      <c r="U4" s="1322" t="n">
        <v>0</v>
      </c>
      <c r="V4" s="1026">
        <f>Q4-U4</f>
        <v/>
      </c>
      <c r="W4" s="678">
        <f>(Q4/U4-1)</f>
        <v/>
      </c>
      <c r="X4" s="163" t="n"/>
    </row>
    <row r="5">
      <c r="A5" s="550">
        <f>'Cumul annuel'!A5</f>
        <v/>
      </c>
      <c r="B5" s="1321" t="n"/>
      <c r="C5" s="1018">
        <f>D5-B5</f>
        <v/>
      </c>
      <c r="D5" s="1019" t="n">
        <v>3419052</v>
      </c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678">
        <f>Q5/R5-1</f>
        <v/>
      </c>
      <c r="U5" s="1322" t="n">
        <v>1185308</v>
      </c>
      <c r="V5" s="1026">
        <f>Q5-U5</f>
        <v/>
      </c>
      <c r="W5" s="678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678">
        <f>Q6/R6-1</f>
        <v/>
      </c>
      <c r="U6" s="1322" t="n">
        <v>61497</v>
      </c>
      <c r="V6" s="1026">
        <f>Q6-U6</f>
        <v/>
      </c>
      <c r="W6" s="678">
        <f>(Q6/U6-1)</f>
        <v/>
      </c>
      <c r="X6" s="163" t="n"/>
    </row>
    <row r="7">
      <c r="A7" s="550">
        <f>'Cumul annuel'!A7</f>
        <v/>
      </c>
      <c r="B7" s="1321" t="n"/>
      <c r="C7" s="1018">
        <f>D7-B7</f>
        <v/>
      </c>
      <c r="D7" s="1019" t="n">
        <v>548844</v>
      </c>
      <c r="E7" s="1020" t="n"/>
      <c r="F7" s="1020" t="n"/>
      <c r="G7" s="1021" t="n">
        <v>13285</v>
      </c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678">
        <f>Q7/R7-1</f>
        <v/>
      </c>
      <c r="U7" s="1322" t="n">
        <v>6288973</v>
      </c>
      <c r="V7" s="1026">
        <f>Q7-U7</f>
        <v/>
      </c>
      <c r="W7" s="678">
        <f>(Q7/U7-1)</f>
        <v/>
      </c>
      <c r="X7" s="163" t="n"/>
    </row>
    <row r="8">
      <c r="A8" s="550">
        <f>'Cumul annuel'!A8</f>
        <v/>
      </c>
      <c r="B8" s="1321" t="n"/>
      <c r="C8" s="1018">
        <f>D8-B8</f>
        <v/>
      </c>
      <c r="D8" s="1019" t="n"/>
      <c r="E8" s="1020" t="n">
        <v>1108440</v>
      </c>
      <c r="F8" s="1020" t="n"/>
      <c r="G8" s="1021" t="n">
        <v>2208067</v>
      </c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0</v>
      </c>
      <c r="S8" s="1026">
        <f>Q8-R8</f>
        <v/>
      </c>
      <c r="T8" s="678">
        <f>Q8/R8-1</f>
        <v/>
      </c>
      <c r="U8" s="1322" t="n">
        <v>227325702</v>
      </c>
      <c r="V8" s="1026">
        <f>Q8-U8</f>
        <v/>
      </c>
      <c r="W8" s="678">
        <f>(Q8/U8-1)</f>
        <v/>
      </c>
      <c r="X8" s="163" t="n"/>
    </row>
    <row r="9">
      <c r="A9" s="550">
        <f>'Cumul annuel'!A9</f>
        <v/>
      </c>
      <c r="B9" s="1321" t="n"/>
      <c r="C9" s="1018">
        <f>D9-B9</f>
        <v/>
      </c>
      <c r="D9" s="1019" t="n">
        <v>39426584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678">
        <f>Q9/R9-1</f>
        <v/>
      </c>
      <c r="U9" s="1322" t="n">
        <v>0</v>
      </c>
      <c r="V9" s="1026">
        <f>Q9-U9</f>
        <v/>
      </c>
      <c r="W9" s="678">
        <f>(Q9/U9-1)</f>
        <v/>
      </c>
      <c r="X9" s="163" t="n"/>
    </row>
    <row r="10">
      <c r="A10" s="550">
        <f>'Cumul annuel'!A10</f>
        <v/>
      </c>
      <c r="B10" s="1321" t="n"/>
      <c r="C10" s="1018">
        <f>D10-B10</f>
        <v/>
      </c>
      <c r="D10" s="1019" t="n">
        <v>1952178</v>
      </c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678">
        <f>Q10/R10-1</f>
        <v/>
      </c>
      <c r="U10" s="1322" t="n">
        <v>3901923</v>
      </c>
      <c r="V10" s="1026">
        <f>Q10-U10</f>
        <v/>
      </c>
      <c r="W10" s="678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>
        <v>2323630</v>
      </c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678">
        <f>Q11/R11-1</f>
        <v/>
      </c>
      <c r="U11" s="1322" t="n">
        <v>935500</v>
      </c>
      <c r="V11" s="1026">
        <f>Q11-U11</f>
        <v/>
      </c>
      <c r="W11" s="678">
        <f>(Q11/U11-1)</f>
        <v/>
      </c>
      <c r="X11" s="163" t="n"/>
    </row>
    <row r="12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>
        <v>141359</v>
      </c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44251612</v>
      </c>
      <c r="S12" s="1026">
        <f>Q12-R12</f>
        <v/>
      </c>
      <c r="T12" s="678">
        <f>Q12/R12-1</f>
        <v/>
      </c>
      <c r="U12" s="1322" t="n">
        <v>25000</v>
      </c>
      <c r="V12" s="1026">
        <f>Q12-U12</f>
        <v/>
      </c>
      <c r="W12" s="678">
        <f>(Q12/U12-1)</f>
        <v/>
      </c>
      <c r="X12" s="163" t="n"/>
    </row>
    <row r="13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>
        <v>6583510</v>
      </c>
      <c r="H13" s="1021" t="n"/>
      <c r="I13" s="1020">
        <f>G13+H13</f>
        <v/>
      </c>
      <c r="J13" s="1020" t="n"/>
      <c r="K13" s="1020" t="n"/>
      <c r="L13" s="1020" t="n">
        <v>600000</v>
      </c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678">
        <f>Q13/R13-1</f>
        <v/>
      </c>
      <c r="U13" s="1322" t="n">
        <v>0</v>
      </c>
      <c r="V13" s="1026">
        <f>Q13-U13</f>
        <v/>
      </c>
      <c r="W13" s="678">
        <f>(Q13/U13-1)</f>
        <v/>
      </c>
      <c r="X13" s="163" t="n"/>
    </row>
    <row r="14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678">
        <f>Q14/R14-1</f>
        <v/>
      </c>
      <c r="U14" s="1322" t="n">
        <v>634000</v>
      </c>
      <c r="V14" s="1026">
        <f>Q14-U14</f>
        <v/>
      </c>
      <c r="W14" s="678">
        <f>(Q14/U14-1)</f>
        <v/>
      </c>
      <c r="X14" s="163" t="n"/>
    </row>
    <row r="15">
      <c r="A15" s="550">
        <f>'Cumul annuel'!A15</f>
        <v/>
      </c>
      <c r="B15" s="1321" t="n"/>
      <c r="C15" s="1018">
        <f>D15-B15</f>
        <v/>
      </c>
      <c r="D15" s="1019" t="n">
        <v>18364646</v>
      </c>
      <c r="E15" s="1020" t="n"/>
      <c r="F15" s="1020" t="n"/>
      <c r="G15" s="1021" t="n">
        <v>825913</v>
      </c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678">
        <f>Q15/R15-1</f>
        <v/>
      </c>
      <c r="U15" s="1322" t="n">
        <v>25737948</v>
      </c>
      <c r="V15" s="1026">
        <f>Q15-U15</f>
        <v/>
      </c>
      <c r="W15" s="678">
        <f>(Q15/U15-1)</f>
        <v/>
      </c>
      <c r="X15" s="163" t="n"/>
    </row>
    <row r="16">
      <c r="A16" s="550">
        <f>'Cumul annuel'!A16</f>
        <v/>
      </c>
      <c r="B16" s="1321" t="n"/>
      <c r="C16" s="1018">
        <f>D16-B16</f>
        <v/>
      </c>
      <c r="D16" s="1019" t="n">
        <v>8521366</v>
      </c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678">
        <f>Q16/R16-1</f>
        <v/>
      </c>
      <c r="U16" s="1322" t="n">
        <v>-52578408</v>
      </c>
      <c r="V16" s="1026">
        <f>Q16-U16</f>
        <v/>
      </c>
      <c r="W16" s="678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>
        <v>59622025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>
        <v>18820000</v>
      </c>
      <c r="L17" s="1020" t="n">
        <v>1650000</v>
      </c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678">
        <f>Q17/R17-1</f>
        <v/>
      </c>
      <c r="U17" s="1322" t="n">
        <v>97211644</v>
      </c>
      <c r="V17" s="1026">
        <f>Q17-U17</f>
        <v/>
      </c>
      <c r="W17" s="678">
        <f>(Q17/U17-1)</f>
        <v/>
      </c>
      <c r="X17" s="163" t="n"/>
    </row>
    <row r="18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0</v>
      </c>
      <c r="S18" s="1026">
        <f>Q18-R18</f>
        <v/>
      </c>
      <c r="T18" s="678">
        <f>Q18/R18-1</f>
        <v/>
      </c>
      <c r="U18" s="1322" t="n">
        <v>0</v>
      </c>
      <c r="V18" s="1026">
        <f>Q18-U18</f>
        <v/>
      </c>
      <c r="W18" s="678">
        <f>(Q18/U18-1)</f>
        <v/>
      </c>
      <c r="X18" s="163" t="n"/>
    </row>
    <row r="19">
      <c r="A19" s="550">
        <f>'Cumul annuel'!A19</f>
        <v/>
      </c>
      <c r="B19" s="1321" t="n">
        <v>2046000</v>
      </c>
      <c r="C19" s="1018">
        <f>D19-B19</f>
        <v/>
      </c>
      <c r="D19" s="1019" t="n">
        <v>3315804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678">
        <f>Q19/R19-1</f>
        <v/>
      </c>
      <c r="U19" s="1322" t="n">
        <v>6935287</v>
      </c>
      <c r="V19" s="1026">
        <f>Q19-U19</f>
        <v/>
      </c>
      <c r="W19" s="678">
        <f>(Q19/U19-1)</f>
        <v/>
      </c>
      <c r="X19" s="163" t="n"/>
    </row>
    <row r="20">
      <c r="A20" s="550">
        <f>'Cumul annuel'!A20</f>
        <v/>
      </c>
      <c r="B20" s="1321" t="n"/>
      <c r="C20" s="1018">
        <f>D20-B20</f>
        <v/>
      </c>
      <c r="D20" s="1019" t="n">
        <v>19553800</v>
      </c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0</v>
      </c>
      <c r="S20" s="1026">
        <f>Q20-R20</f>
        <v/>
      </c>
      <c r="T20" s="678">
        <f>Q20/R20-1</f>
        <v/>
      </c>
      <c r="U20" s="1322" t="n">
        <v>0</v>
      </c>
      <c r="V20" s="1026">
        <f>Q20-U20</f>
        <v/>
      </c>
      <c r="W20" s="678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>
        <v>17537053</v>
      </c>
      <c r="E21" s="1020" t="n">
        <v>6908800</v>
      </c>
      <c r="F21" s="1020" t="n">
        <v>1325000</v>
      </c>
      <c r="G21" s="1021" t="n">
        <v>19213726</v>
      </c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678">
        <f>Q21/R21-1</f>
        <v/>
      </c>
      <c r="U21" s="1322" t="n">
        <v>46150057</v>
      </c>
      <c r="V21" s="1026">
        <f>Q21-U21</f>
        <v/>
      </c>
      <c r="W21" s="678">
        <f>(Q21/U21-1)</f>
        <v/>
      </c>
      <c r="X21" s="163" t="n"/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4978298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678">
        <f>Q22/R22-1</f>
        <v/>
      </c>
      <c r="U22" s="1322" t="n">
        <v>6296244</v>
      </c>
      <c r="V22" s="1026">
        <f>Q22-U22</f>
        <v/>
      </c>
      <c r="W22" s="678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0</v>
      </c>
      <c r="S23" s="1026">
        <f>Q23-R23</f>
        <v/>
      </c>
      <c r="T23" s="678">
        <f>Q23/R23-1</f>
        <v/>
      </c>
      <c r="U23" s="1322" t="n">
        <v>0</v>
      </c>
      <c r="V23" s="1026">
        <f>Q23-U23</f>
        <v/>
      </c>
      <c r="W23" s="678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678">
        <f>Q24/R24-1</f>
        <v/>
      </c>
      <c r="U24" s="1322" t="n">
        <v>200000</v>
      </c>
      <c r="V24" s="1026">
        <f>Q24-U24</f>
        <v/>
      </c>
      <c r="W24" s="678">
        <f>(Q24/U24-1)</f>
        <v/>
      </c>
      <c r="X24" s="163" t="n"/>
    </row>
    <row r="25">
      <c r="A25" s="550" t="inlineStr">
        <is>
          <t>AFRILOG</t>
        </is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0</v>
      </c>
      <c r="S25" s="1026">
        <f>Q25-R25</f>
        <v/>
      </c>
      <c r="T25" s="678">
        <f>Q25/R25-1</f>
        <v/>
      </c>
      <c r="U25" s="1322" t="n">
        <v>150000</v>
      </c>
      <c r="V25" s="1026">
        <f>Q25-U25</f>
        <v/>
      </c>
      <c r="W25" s="678">
        <f>(Q25/U25-1)</f>
        <v/>
      </c>
      <c r="X25" s="163" t="n"/>
    </row>
    <row r="26">
      <c r="A26" s="550">
        <f>'Cumul annuel'!A26</f>
        <v/>
      </c>
      <c r="B26" s="1321" t="n"/>
      <c r="C26" s="1018">
        <f>D26-B26</f>
        <v/>
      </c>
      <c r="D26" s="1019" t="n">
        <v>2841613</v>
      </c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678">
        <f>Q26/R26-1</f>
        <v/>
      </c>
      <c r="U26" s="1322" t="n">
        <v>0</v>
      </c>
      <c r="V26" s="1026">
        <f>Q26-U26</f>
        <v/>
      </c>
      <c r="W26" s="678">
        <f>(Q26/U26-1)</f>
        <v/>
      </c>
      <c r="X26" s="163" t="n"/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678">
        <f>Q27/R27-1</f>
        <v/>
      </c>
      <c r="U27" s="1322" t="n">
        <v>0</v>
      </c>
      <c r="V27" s="1026">
        <f>Q27-U27</f>
        <v/>
      </c>
      <c r="W27" s="678">
        <f>(Q27/U27-1)</f>
        <v/>
      </c>
      <c r="X27" s="163" t="n"/>
    </row>
    <row r="28">
      <c r="A28" s="550">
        <f>'Cumul annuel'!A28</f>
        <v/>
      </c>
      <c r="B28" s="1321" t="n"/>
      <c r="C28" s="1018">
        <f>D28-B28</f>
        <v/>
      </c>
      <c r="D28" s="1019" t="n">
        <v>2053000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678">
        <f>Q28/R28-1</f>
        <v/>
      </c>
      <c r="U28" s="1322" t="n">
        <v>3076500</v>
      </c>
      <c r="V28" s="1026">
        <f>Q28-U28</f>
        <v/>
      </c>
      <c r="W28" s="678">
        <f>(Q28/U28-1)</f>
        <v/>
      </c>
      <c r="X28" s="163" t="n"/>
    </row>
    <row r="29">
      <c r="A29" s="550">
        <f>'Cumul annuel'!A29</f>
        <v/>
      </c>
      <c r="B29" s="1321" t="n"/>
      <c r="C29" s="1018">
        <f>D29-B29</f>
        <v/>
      </c>
      <c r="D29" s="1019" t="n">
        <v>13636000</v>
      </c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678">
        <f>Q29/R29-1</f>
        <v/>
      </c>
      <c r="U29" s="1322" t="n">
        <v>56048000</v>
      </c>
      <c r="V29" s="1026">
        <f>Q29-U29</f>
        <v/>
      </c>
      <c r="W29" s="678">
        <f>(Q29/U29-1)</f>
        <v/>
      </c>
      <c r="X29" s="163" t="n"/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678">
        <f>Q30/R30-1</f>
        <v/>
      </c>
      <c r="U30" s="1322" t="n">
        <v>0</v>
      </c>
      <c r="V30" s="1026">
        <f>Q30-U30</f>
        <v/>
      </c>
      <c r="W30" s="678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678">
        <f>Q31/R31-1</f>
        <v/>
      </c>
      <c r="U31" s="1322" t="n">
        <v>0</v>
      </c>
      <c r="V31" s="1026">
        <f>Q31-U31</f>
        <v/>
      </c>
      <c r="W31" s="678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678">
        <f>Q32/R32-1</f>
        <v/>
      </c>
      <c r="U32" s="1322" t="n">
        <v>0</v>
      </c>
      <c r="V32" s="1026">
        <f>Q32-U32</f>
        <v/>
      </c>
      <c r="W32" s="678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678">
        <f>Q33/R33-1</f>
        <v/>
      </c>
      <c r="U33" s="1322" t="n">
        <v>0</v>
      </c>
      <c r="V33" s="1026">
        <f>Q33-U33</f>
        <v/>
      </c>
      <c r="W33" s="678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678">
        <f>Q34/R34-1</f>
        <v/>
      </c>
      <c r="U34" s="1322" t="n">
        <v>0</v>
      </c>
      <c r="V34" s="1026">
        <f>Q34-U34</f>
        <v/>
      </c>
      <c r="W34" s="678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678">
        <f>Q35/R35-1</f>
        <v/>
      </c>
      <c r="U35" s="1322" t="n">
        <v>0</v>
      </c>
      <c r="V35" s="1026">
        <f>Q35-U35</f>
        <v/>
      </c>
      <c r="W35" s="678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>
        <v>8387683</v>
      </c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678">
        <f>Q36/R36-1</f>
        <v/>
      </c>
      <c r="U36" s="1322" t="n">
        <v>0</v>
      </c>
      <c r="V36" s="1026">
        <f>Q36-U36</f>
        <v/>
      </c>
      <c r="W36" s="678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678">
        <f>Q37/R37-1</f>
        <v/>
      </c>
      <c r="U37" s="1322" t="n">
        <v>0</v>
      </c>
      <c r="V37" s="1026">
        <f>Q37-U37</f>
        <v/>
      </c>
      <c r="W37" s="678">
        <f>(Q37/U37-1)</f>
        <v/>
      </c>
      <c r="X37" s="163" t="n"/>
    </row>
    <row r="38">
      <c r="A38" s="550">
        <f>'Cumul annuel'!A38</f>
        <v/>
      </c>
      <c r="B38" s="1321" t="n">
        <v>57500000</v>
      </c>
      <c r="C38" s="1018">
        <f>D38-B38</f>
        <v/>
      </c>
      <c r="D38" s="1019" t="n">
        <v>105856520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17200000</v>
      </c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678">
        <f>Q38/R38-1</f>
        <v/>
      </c>
      <c r="U38" s="1322" t="n">
        <v>45757420</v>
      </c>
      <c r="V38" s="1026">
        <f>Q38-U38</f>
        <v/>
      </c>
      <c r="W38" s="678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678">
        <f>Q39/R39-1</f>
        <v/>
      </c>
      <c r="U39" s="1322" t="n">
        <v>0</v>
      </c>
      <c r="V39" s="1026">
        <f>Q39-U39</f>
        <v/>
      </c>
      <c r="W39" s="678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678">
        <f>Q40/R40-1</f>
        <v/>
      </c>
      <c r="U40" s="1322" t="n">
        <v>0</v>
      </c>
      <c r="V40" s="1026">
        <f>Q40-U40</f>
        <v/>
      </c>
      <c r="W40" s="678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678">
        <f>Q41/R41-1</f>
        <v/>
      </c>
      <c r="U41" s="1322" t="n">
        <v>0</v>
      </c>
      <c r="V41" s="1026">
        <f>Q41-U41</f>
        <v/>
      </c>
      <c r="W41" s="678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763750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678">
        <f>Q42/R42-1</f>
        <v/>
      </c>
      <c r="U42" s="1322" t="n">
        <v>763750</v>
      </c>
      <c r="V42" s="1026">
        <f>Q42-U42</f>
        <v/>
      </c>
      <c r="W42" s="678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678">
        <f>Q43/R43-1</f>
        <v/>
      </c>
      <c r="U43" s="1322" t="n">
        <v>0</v>
      </c>
      <c r="V43" s="1026">
        <f>Q43-U43</f>
        <v/>
      </c>
      <c r="W43" s="678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678">
        <f>Q44/R44-1</f>
        <v/>
      </c>
      <c r="U44" s="1322" t="n">
        <v>91600</v>
      </c>
      <c r="V44" s="1026">
        <f>Q44-U44</f>
        <v/>
      </c>
      <c r="W44" s="678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>
        <v>39389020</v>
      </c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678">
        <f>Q45/R45-1</f>
        <v/>
      </c>
      <c r="U45" s="1322" t="n">
        <v>0</v>
      </c>
      <c r="V45" s="1026">
        <f>Q45-U45</f>
        <v/>
      </c>
      <c r="W45" s="678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678">
        <f>Q46/R46-1</f>
        <v/>
      </c>
      <c r="U46" s="1322" t="n">
        <v>0</v>
      </c>
      <c r="V46" s="1026">
        <f>Q46-U46</f>
        <v/>
      </c>
      <c r="W46" s="678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>
        <v>18000000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678">
        <f>Q47/R47-1</f>
        <v/>
      </c>
      <c r="U47" s="1322" t="n">
        <v>36000000</v>
      </c>
      <c r="V47" s="1026">
        <f>Q47-U47</f>
        <v/>
      </c>
      <c r="W47" s="678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678">
        <f>Q48/R48-1</f>
        <v/>
      </c>
      <c r="U48" s="1322" t="n">
        <v>0</v>
      </c>
      <c r="V48" s="1026">
        <f>Q48-U48</f>
        <v/>
      </c>
      <c r="W48" s="678">
        <f>(Q48/U48-1)</f>
        <v/>
      </c>
      <c r="X48" s="163" t="n"/>
    </row>
    <row r="49">
      <c r="A49" s="550">
        <f>'Cumul annuel'!A49</f>
        <v/>
      </c>
      <c r="B49" s="1321" t="n">
        <v>63046250</v>
      </c>
      <c r="C49" s="1018">
        <f>D49-B49</f>
        <v/>
      </c>
      <c r="D49" s="1019" t="n">
        <v>399472902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3140000</v>
      </c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678">
        <f>Q49/R49-1</f>
        <v/>
      </c>
      <c r="U49" s="1322" t="n">
        <v>0</v>
      </c>
      <c r="V49" s="1026">
        <f>Q49-U49</f>
        <v/>
      </c>
      <c r="W49" s="678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678">
        <f>Q50/R50-1</f>
        <v/>
      </c>
      <c r="U50" s="1322" t="n">
        <v>0</v>
      </c>
      <c r="V50" s="1026">
        <f>Q50-U50</f>
        <v/>
      </c>
      <c r="W50" s="678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5">
        <f>D51-B51</f>
        <v/>
      </c>
      <c r="D51" s="1037">
        <f>SUM(D4:D50)</f>
        <v/>
      </c>
      <c r="E51" s="1038">
        <f>SUM(E4:E50)</f>
        <v/>
      </c>
      <c r="F51" s="1038">
        <f>SUM(F4:F50)</f>
        <v/>
      </c>
      <c r="G51" s="1038" t="n"/>
      <c r="H51" s="1038">
        <f>SUM(H4:H50)</f>
        <v/>
      </c>
      <c r="I51" s="1038">
        <f>SUM(I4:I50)</f>
        <v/>
      </c>
      <c r="J51" s="1038">
        <f>SUM(J4:J50)</f>
        <v/>
      </c>
      <c r="K51" s="1038">
        <f>SUM(K4:K50)</f>
        <v/>
      </c>
      <c r="L51" s="1038">
        <f>SUM(L4:L50)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322">
        <f>D51</f>
        <v/>
      </c>
      <c r="R51" s="1025">
        <f>SUM(R4:R50)</f>
        <v/>
      </c>
      <c r="S51" s="1047">
        <f>Q51-R51</f>
        <v/>
      </c>
      <c r="T51" s="494">
        <f>Q51/R51-1</f>
        <v/>
      </c>
      <c r="U51" s="1044">
        <f>SUM(U4:U50)</f>
        <v/>
      </c>
      <c r="V51" s="1047">
        <f>Q51-U51</f>
        <v/>
      </c>
      <c r="W51" s="494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328" t="n"/>
      <c r="L52" s="1052" t="n"/>
      <c r="M52" s="1052" t="n"/>
      <c r="N52" s="1053" t="n"/>
      <c r="P52" s="235" t="inlineStr">
        <is>
          <t xml:space="preserve">Rétrocessions </t>
        </is>
      </c>
      <c r="Q52" s="1347">
        <f>D52</f>
        <v/>
      </c>
      <c r="R52" s="1331" t="n"/>
      <c r="S52" s="759">
        <f>Q52-R52</f>
        <v/>
      </c>
      <c r="T52" s="233">
        <f>Q52/R52-1</f>
        <v/>
      </c>
      <c r="U52" s="1348" t="n">
        <v>6361396</v>
      </c>
      <c r="V52" s="759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332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491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335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491">
        <f>Q54/R54-1</f>
        <v/>
      </c>
      <c r="U54" s="1066" t="n">
        <v>3302234</v>
      </c>
      <c r="V54" s="1062">
        <f>Q54-U54</f>
        <v/>
      </c>
      <c r="W54" s="678">
        <f>(Q54/U54-1)</f>
        <v/>
      </c>
      <c r="X54" s="1338" t="n"/>
    </row>
    <row r="55" ht="15.5" customHeight="1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491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491">
        <f>Q56/R56-1</f>
        <v/>
      </c>
      <c r="U56" s="1071" t="n">
        <v>3059162</v>
      </c>
      <c r="V56" s="1315">
        <f>Q56-U56</f>
        <v/>
      </c>
      <c r="W56" s="496">
        <f>(Q56/U56-1)</f>
        <v/>
      </c>
      <c r="X56" s="1072" t="n"/>
    </row>
    <row r="57" ht="19" customHeight="1" thickBot="1">
      <c r="B57" s="761" t="inlineStr">
        <is>
          <t>Loyer</t>
        </is>
      </c>
      <c r="C57" s="1349">
        <f>B51</f>
        <v/>
      </c>
      <c r="D57" s="762">
        <f>C57/$C$60</f>
        <v/>
      </c>
      <c r="P57" s="1073" t="inlineStr">
        <is>
          <t>ACTIVITE O&amp;G</t>
        </is>
      </c>
      <c r="Q57" s="1074">
        <f>Q51+Q52</f>
        <v/>
      </c>
      <c r="R57" s="1075">
        <f>R51+R52</f>
        <v/>
      </c>
      <c r="S57" s="1075">
        <f>S51+S53+S54+S55+S56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454">
        <f>(Q57/U57-1)</f>
        <v/>
      </c>
      <c r="X57" s="1076" t="n"/>
    </row>
    <row r="58" ht="16" customHeight="1" thickBot="1">
      <c r="B58" s="763" t="inlineStr">
        <is>
          <t>LOGP</t>
        </is>
      </c>
      <c r="C58" s="1003">
        <f>C51</f>
        <v/>
      </c>
      <c r="D58" s="764">
        <f>C58/$C$60</f>
        <v/>
      </c>
      <c r="P58" s="1317" t="inlineStr">
        <is>
          <t>R26</t>
        </is>
      </c>
      <c r="Q58" s="1006" t="n"/>
      <c r="R58" s="845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>
      <c r="B59" s="763" t="inlineStr">
        <is>
          <t>Rétros</t>
        </is>
      </c>
      <c r="C59" s="1003">
        <f>D52</f>
        <v/>
      </c>
      <c r="D59" s="764">
        <f>C59/$C$60</f>
        <v/>
      </c>
    </row>
    <row r="60" ht="19" customHeight="1" thickBot="1">
      <c r="B60" s="1350" t="inlineStr">
        <is>
          <t>TOTAL CAP</t>
        </is>
      </c>
      <c r="C60" s="1351">
        <f>D54</f>
        <v/>
      </c>
      <c r="D60" s="768">
        <f>C60/$C$60</f>
        <v/>
      </c>
      <c r="R60" s="1343" t="n"/>
    </row>
    <row r="63">
      <c r="Q63" s="691" t="n"/>
      <c r="R63" s="1352">
        <f>R60-R57</f>
        <v/>
      </c>
    </row>
    <row r="64">
      <c r="Q64" s="691" t="n"/>
    </row>
    <row r="65">
      <c r="Q65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82"/>
  <sheetViews>
    <sheetView zoomScale="84" zoomScaleNormal="84" workbookViewId="0">
      <pane xSplit="1" topLeftCell="N1" activePane="topRight" state="frozen"/>
      <selection pane="topRight" activeCell="T5" sqref="T5"/>
    </sheetView>
  </sheetViews>
  <sheetFormatPr baseColWidth="10" defaultRowHeight="14.5"/>
  <cols>
    <col width="36.1796875" customWidth="1" min="1" max="1"/>
    <col width="14.1796875" customWidth="1" style="1003" min="2" max="2"/>
    <col width="15.54296875" customWidth="1" min="3" max="3"/>
    <col width="19.1796875" customWidth="1" min="4" max="4"/>
    <col width="18.5429687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customWidth="1" style="1003" min="9" max="9"/>
    <col width="17.7265625" bestFit="1" customWidth="1" style="1003" min="10" max="11"/>
    <col width="17.453125" customWidth="1" style="1003" min="12" max="12"/>
    <col width="20.1796875" customWidth="1" min="13" max="13"/>
    <col width="31.26953125" bestFit="1" customWidth="1" min="14" max="14"/>
    <col width="27.54296875" customWidth="1" min="15" max="15"/>
    <col width="34.453125" bestFit="1" customWidth="1" min="16" max="16"/>
    <col width="19.1796875" bestFit="1" customWidth="1" min="17" max="18"/>
    <col width="19.1796875" bestFit="1" customWidth="1" style="299" min="19" max="19"/>
    <col width="14.81640625" bestFit="1" customWidth="1" style="299" min="20" max="20"/>
    <col width="19.1796875" bestFit="1" customWidth="1" min="21" max="21"/>
    <col width="19.1796875" bestFit="1" customWidth="1" style="299" min="22" max="22"/>
    <col width="11.54296875" customWidth="1" style="299" min="23" max="23"/>
    <col width="86.7265625" bestFit="1" customWidth="1" min="24" max="24"/>
  </cols>
  <sheetData>
    <row r="1" ht="27" customHeight="1" thickBot="1">
      <c r="B1" s="1004" t="inlineStr">
        <is>
          <t xml:space="preserve">CAP Mars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n">
        <v>2046</v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322">
        <f>D4</f>
        <v/>
      </c>
      <c r="R4" s="1025" t="n">
        <v>0</v>
      </c>
      <c r="S4" s="1026">
        <f>Q4-R4</f>
        <v/>
      </c>
      <c r="T4" s="678">
        <f>Q4/R4-1</f>
        <v/>
      </c>
      <c r="U4" s="1322" t="n">
        <v>0</v>
      </c>
      <c r="V4" s="1026">
        <f>Q4-U4</f>
        <v/>
      </c>
      <c r="W4" s="678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>
        <v>1137418</v>
      </c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322">
        <f>D5</f>
        <v/>
      </c>
      <c r="R5" s="1025" t="n">
        <v>6666666.666666667</v>
      </c>
      <c r="S5" s="1026">
        <f>Q5-R5</f>
        <v/>
      </c>
      <c r="T5" s="678">
        <f>Q5/R5-1</f>
        <v/>
      </c>
      <c r="U5" s="1322" t="n">
        <v>0</v>
      </c>
      <c r="V5" s="1026">
        <f>Q5-U5</f>
        <v/>
      </c>
      <c r="W5" s="678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>
        <v>22000000</v>
      </c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322">
        <f>D6</f>
        <v/>
      </c>
      <c r="R6" s="1025" t="n">
        <v>10750000</v>
      </c>
      <c r="S6" s="1026">
        <f>Q6-R6</f>
        <v/>
      </c>
      <c r="T6" s="678">
        <f>Q6/R6-1</f>
        <v/>
      </c>
      <c r="U6" s="1322" t="n">
        <v>0</v>
      </c>
      <c r="V6" s="1026">
        <f>Q6-U6</f>
        <v/>
      </c>
      <c r="W6" s="678">
        <f>(Q6/U6-1)</f>
        <v/>
      </c>
      <c r="X6" s="163" t="n"/>
    </row>
    <row r="7" ht="15" customHeight="1">
      <c r="A7" s="550">
        <f>'Cumul annuel'!A7</f>
        <v/>
      </c>
      <c r="B7" s="1321" t="n">
        <v>38715900</v>
      </c>
      <c r="C7" s="1018">
        <f>D7-B7</f>
        <v/>
      </c>
      <c r="D7" s="1019" t="n">
        <v>60825072</v>
      </c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322">
        <f>D7</f>
        <v/>
      </c>
      <c r="R7" s="1025" t="n">
        <v>50000000</v>
      </c>
      <c r="S7" s="1026">
        <f>Q7-R7</f>
        <v/>
      </c>
      <c r="T7" s="678">
        <f>Q7/R7-1</f>
        <v/>
      </c>
      <c r="U7" s="1322" t="n">
        <v>25000</v>
      </c>
      <c r="V7" s="1026">
        <f>Q7-U7</f>
        <v/>
      </c>
      <c r="W7" s="678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322">
        <f>D8</f>
        <v/>
      </c>
      <c r="R8" s="1025" t="n">
        <v>0</v>
      </c>
      <c r="S8" s="1026">
        <f>Q8-R8</f>
        <v/>
      </c>
      <c r="T8" s="678">
        <f>Q8/R8-1</f>
        <v/>
      </c>
      <c r="U8" s="1322" t="n">
        <v>55340648</v>
      </c>
      <c r="V8" s="1026">
        <f>Q8-U8</f>
        <v/>
      </c>
      <c r="W8" s="678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>
        <v>21871979</v>
      </c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322">
        <f>D9</f>
        <v/>
      </c>
      <c r="R9" s="1025" t="n">
        <v>833333.3333333334</v>
      </c>
      <c r="S9" s="1026">
        <f>Q9-R9</f>
        <v/>
      </c>
      <c r="T9" s="678">
        <f>Q9/R9-1</f>
        <v/>
      </c>
      <c r="U9" s="1322" t="n">
        <v>0</v>
      </c>
      <c r="V9" s="1026">
        <f>Q9-U9</f>
        <v/>
      </c>
      <c r="W9" s="678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>
        <v>1587400</v>
      </c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322">
        <f>D10</f>
        <v/>
      </c>
      <c r="R10" s="1025" t="n">
        <v>4600000</v>
      </c>
      <c r="S10" s="1026">
        <f>Q10-R10</f>
        <v/>
      </c>
      <c r="T10" s="678">
        <f>Q10/R10-1</f>
        <v/>
      </c>
      <c r="U10" s="1322" t="n">
        <v>2541480</v>
      </c>
      <c r="V10" s="1026">
        <f>Q10-U10</f>
        <v/>
      </c>
      <c r="W10" s="678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>
        <v>301740</v>
      </c>
      <c r="H11" s="1021" t="n"/>
      <c r="I11" s="1020">
        <f>G11+H11</f>
        <v/>
      </c>
      <c r="J11" s="1020" t="n"/>
      <c r="K11" s="1020" t="n"/>
      <c r="L11" s="1020" t="n">
        <v>3300000</v>
      </c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322">
        <f>D11</f>
        <v/>
      </c>
      <c r="R11" s="1025" t="n">
        <v>5833333.333333333</v>
      </c>
      <c r="S11" s="1026">
        <f>Q11-R11</f>
        <v/>
      </c>
      <c r="T11" s="678">
        <f>Q11/R11-1</f>
        <v/>
      </c>
      <c r="U11" s="1322" t="n">
        <v>300000</v>
      </c>
      <c r="V11" s="1026">
        <f>Q11-U11</f>
        <v/>
      </c>
      <c r="W11" s="678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>
        <v>781245</v>
      </c>
      <c r="H12" s="1021" t="n"/>
      <c r="I12" s="1020">
        <f>G12+H12</f>
        <v/>
      </c>
      <c r="J12" s="1020" t="n"/>
      <c r="K12" s="1020" t="n"/>
      <c r="L12" s="1020" t="n">
        <v>544444</v>
      </c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322">
        <f>D12</f>
        <v/>
      </c>
      <c r="R12" s="1025" t="n">
        <v>44251612</v>
      </c>
      <c r="S12" s="1026">
        <f>Q12-R12</f>
        <v/>
      </c>
      <c r="T12" s="678">
        <f>Q12/R12-1</f>
        <v/>
      </c>
      <c r="U12" s="1322" t="n">
        <v>0</v>
      </c>
      <c r="V12" s="1026">
        <f>Q12-U12</f>
        <v/>
      </c>
      <c r="W12" s="678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322">
        <f>D13</f>
        <v/>
      </c>
      <c r="R13" s="1025" t="n">
        <v>55100388</v>
      </c>
      <c r="S13" s="1026">
        <f>Q13-R13</f>
        <v/>
      </c>
      <c r="T13" s="678">
        <f>Q13/R13-1</f>
        <v/>
      </c>
      <c r="U13" s="1322" t="n">
        <v>10675000</v>
      </c>
      <c r="V13" s="1026">
        <f>Q13-U13</f>
        <v/>
      </c>
      <c r="W13" s="678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322">
        <f>D14</f>
        <v/>
      </c>
      <c r="R14" s="1025" t="n">
        <v>0</v>
      </c>
      <c r="S14" s="1026">
        <f>Q14-R14</f>
        <v/>
      </c>
      <c r="T14" s="678">
        <f>Q14/R14-1</f>
        <v/>
      </c>
      <c r="U14" s="1322" t="n">
        <v>0</v>
      </c>
      <c r="V14" s="1026">
        <f>Q14-U14</f>
        <v/>
      </c>
      <c r="W14" s="678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>
        <v>12461220</v>
      </c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322">
        <f>D15</f>
        <v/>
      </c>
      <c r="R15" s="1025" t="n">
        <v>20833333.33333333</v>
      </c>
      <c r="S15" s="1026">
        <f>Q15-R15</f>
        <v/>
      </c>
      <c r="T15" s="678">
        <f>Q15/R15-1</f>
        <v/>
      </c>
      <c r="U15" s="1322" t="n">
        <v>8157185</v>
      </c>
      <c r="V15" s="1026">
        <f>Q15-U15</f>
        <v/>
      </c>
      <c r="W15" s="678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>
        <v>11769763</v>
      </c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322">
        <f>D16</f>
        <v/>
      </c>
      <c r="R16" s="1025" t="n">
        <v>833333.3333333334</v>
      </c>
      <c r="S16" s="1026">
        <f>Q16-R16</f>
        <v/>
      </c>
      <c r="T16" s="678">
        <f>Q16/R16-1</f>
        <v/>
      </c>
      <c r="U16" s="1322" t="n">
        <v>23780000</v>
      </c>
      <c r="V16" s="1026">
        <f>Q16-U16</f>
        <v/>
      </c>
      <c r="W16" s="678">
        <f>(Q16/U16-1)</f>
        <v/>
      </c>
      <c r="X16" s="163" t="n"/>
    </row>
    <row r="17" ht="15" customHeight="1">
      <c r="A17" s="550">
        <f>'Cumul annuel'!A17</f>
        <v/>
      </c>
      <c r="B17" s="1321" t="n">
        <v>54314000</v>
      </c>
      <c r="C17" s="1018">
        <f>D17-B17</f>
        <v/>
      </c>
      <c r="D17" s="1019" t="n">
        <v>193586525</v>
      </c>
      <c r="E17" s="1020" t="n"/>
      <c r="F17" s="1020" t="n"/>
      <c r="G17" s="1021" t="n"/>
      <c r="H17" s="1021" t="n"/>
      <c r="I17" s="1020">
        <f>G17+H17</f>
        <v/>
      </c>
      <c r="J17" s="1020" t="n"/>
      <c r="K17" s="1020" t="n">
        <v>60000000</v>
      </c>
      <c r="L17" s="1020" t="n">
        <v>4850000</v>
      </c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322">
        <f>D17</f>
        <v/>
      </c>
      <c r="R17" s="1025" t="n">
        <v>175000000</v>
      </c>
      <c r="S17" s="1026">
        <f>Q17-R17</f>
        <v/>
      </c>
      <c r="T17" s="678">
        <f>Q17/R17-1</f>
        <v/>
      </c>
      <c r="U17" s="1322" t="n">
        <v>58902025</v>
      </c>
      <c r="V17" s="1026">
        <f>Q17-U17</f>
        <v/>
      </c>
      <c r="W17" s="678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322">
        <f>D18</f>
        <v/>
      </c>
      <c r="R18" s="1025" t="n">
        <v>0</v>
      </c>
      <c r="S18" s="1026">
        <f>Q18-R18</f>
        <v/>
      </c>
      <c r="T18" s="678">
        <f>Q18/R18-1</f>
        <v/>
      </c>
      <c r="U18" s="1322" t="n">
        <v>0</v>
      </c>
      <c r="V18" s="1026">
        <f>Q18-U18</f>
        <v/>
      </c>
      <c r="W18" s="678">
        <f>(Q18/U18-1)</f>
        <v/>
      </c>
      <c r="X18" s="163" t="n"/>
    </row>
    <row r="19" ht="15" customHeight="1">
      <c r="A19" s="550">
        <f>'Cumul annuel'!A19</f>
        <v/>
      </c>
      <c r="B19" s="1321" t="n">
        <v>2046000</v>
      </c>
      <c r="C19" s="1018">
        <f>D19-B19</f>
        <v/>
      </c>
      <c r="D19" s="1019" t="n">
        <v>3811974</v>
      </c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322">
        <f>D19</f>
        <v/>
      </c>
      <c r="R19" s="1025" t="n">
        <v>5000000</v>
      </c>
      <c r="S19" s="1026">
        <f>Q19-R19</f>
        <v/>
      </c>
      <c r="T19" s="678">
        <f>Q19/R19-1</f>
        <v/>
      </c>
      <c r="U19" s="1322" t="n">
        <v>3379953</v>
      </c>
      <c r="V19" s="1026">
        <f>Q19-U19</f>
        <v/>
      </c>
      <c r="W19" s="678">
        <f>(Q19/U19-1)</f>
        <v/>
      </c>
      <c r="X19" s="163" t="n"/>
    </row>
    <row r="20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322">
        <f>D20</f>
        <v/>
      </c>
      <c r="R20" s="1025" t="n">
        <v>0</v>
      </c>
      <c r="S20" s="1026">
        <f>Q20-R20</f>
        <v/>
      </c>
      <c r="T20" s="678">
        <f>Q20/R20-1</f>
        <v/>
      </c>
      <c r="U20" s="1322" t="n">
        <v>12505800</v>
      </c>
      <c r="V20" s="1026">
        <f>Q20-U20</f>
        <v/>
      </c>
      <c r="W20" s="678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>
        <v>1665045</v>
      </c>
      <c r="E21" s="1020" t="n">
        <v>193500</v>
      </c>
      <c r="F21" s="1020" t="n"/>
      <c r="G21" s="1021" t="n">
        <v>6053268</v>
      </c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322">
        <f>D21</f>
        <v/>
      </c>
      <c r="R21" s="1025" t="n">
        <v>20833333.33333333</v>
      </c>
      <c r="S21" s="1026">
        <f>Q21-R21</f>
        <v/>
      </c>
      <c r="T21" s="678">
        <f>Q21/R21-1</f>
        <v/>
      </c>
      <c r="U21" s="1322" t="n">
        <v>38411761</v>
      </c>
      <c r="V21" s="1026">
        <f>Q21-U21</f>
        <v/>
      </c>
      <c r="W21" s="678">
        <f>(Q21/U21-1)</f>
        <v/>
      </c>
      <c r="X21" s="163" t="n"/>
    </row>
    <row r="22">
      <c r="A22" s="550">
        <f>'Cumul annuel'!A22</f>
        <v/>
      </c>
      <c r="B22" s="1321" t="n">
        <v>1470000</v>
      </c>
      <c r="C22" s="1018">
        <f>D22-B22</f>
        <v/>
      </c>
      <c r="D22" s="1019" t="n">
        <v>7540258</v>
      </c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322">
        <f>D22</f>
        <v/>
      </c>
      <c r="R22" s="1025" t="n">
        <v>13333333.33333333</v>
      </c>
      <c r="S22" s="1026">
        <f>Q22-R22</f>
        <v/>
      </c>
      <c r="T22" s="678">
        <f>Q22/R22-1</f>
        <v/>
      </c>
      <c r="U22" s="1322" t="n">
        <v>5483988</v>
      </c>
      <c r="V22" s="1026">
        <f>Q22-U22</f>
        <v/>
      </c>
      <c r="W22" s="678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322">
        <f>D23</f>
        <v/>
      </c>
      <c r="R23" s="1025" t="n">
        <v>0</v>
      </c>
      <c r="S23" s="1026">
        <f>Q23-R23</f>
        <v/>
      </c>
      <c r="T23" s="678">
        <f>Q23/R23-1</f>
        <v/>
      </c>
      <c r="U23" s="1322" t="n">
        <v>0</v>
      </c>
      <c r="V23" s="1026">
        <f>Q23-U23</f>
        <v/>
      </c>
      <c r="W23" s="678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322">
        <f>D24</f>
        <v/>
      </c>
      <c r="R24" s="1025" t="n">
        <v>0</v>
      </c>
      <c r="S24" s="1026">
        <f>Q24-R24</f>
        <v/>
      </c>
      <c r="T24" s="678">
        <f>Q24/R24-1</f>
        <v/>
      </c>
      <c r="U24" s="1322" t="n">
        <v>0</v>
      </c>
      <c r="V24" s="1026">
        <f>Q24-U24</f>
        <v/>
      </c>
      <c r="W24" s="678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322">
        <f>D25</f>
        <v/>
      </c>
      <c r="R25" s="1025" t="n">
        <v>0</v>
      </c>
      <c r="S25" s="1026">
        <f>Q25-R25</f>
        <v/>
      </c>
      <c r="T25" s="678">
        <f>Q25/R25-1</f>
        <v/>
      </c>
      <c r="U25" s="1322" t="n">
        <v>0</v>
      </c>
      <c r="V25" s="1026">
        <f>Q25-U25</f>
        <v/>
      </c>
      <c r="W25" s="678">
        <f>(Q25/U25-1)</f>
        <v/>
      </c>
      <c r="X25" s="163" t="n"/>
    </row>
    <row r="26">
      <c r="A26" s="550">
        <f>'Cumul annuel'!A26</f>
        <v/>
      </c>
      <c r="B26" s="1321" t="n">
        <v>2500000</v>
      </c>
      <c r="C26" s="1018">
        <f>D26-B26</f>
        <v/>
      </c>
      <c r="D26" s="1019" t="n">
        <v>7980890</v>
      </c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322">
        <f>D26</f>
        <v/>
      </c>
      <c r="R26" s="1025" t="n">
        <v>833333.3333333334</v>
      </c>
      <c r="S26" s="1026">
        <f>Q26-R26</f>
        <v/>
      </c>
      <c r="T26" s="678">
        <f>Q26/R26-1</f>
        <v/>
      </c>
      <c r="U26" s="1322" t="n">
        <v>0</v>
      </c>
      <c r="V26" s="1026">
        <f>Q26-U26</f>
        <v/>
      </c>
      <c r="W26" s="678">
        <f>(Q26/U26-1)</f>
        <v/>
      </c>
      <c r="X26" s="163" t="n"/>
    </row>
    <row r="27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322">
        <f>D27</f>
        <v/>
      </c>
      <c r="R27" s="1025" t="n">
        <v>4166666.666666667</v>
      </c>
      <c r="S27" s="1026">
        <f>Q27-R27</f>
        <v/>
      </c>
      <c r="T27" s="678">
        <f>Q27/R27-1</f>
        <v/>
      </c>
      <c r="U27" s="1322" t="n">
        <v>0</v>
      </c>
      <c r="V27" s="1026">
        <f>Q27-U27</f>
        <v/>
      </c>
      <c r="W27" s="678">
        <f>(Q27/U27-1)</f>
        <v/>
      </c>
      <c r="X27" s="163" t="n"/>
    </row>
    <row r="28">
      <c r="A28" s="550">
        <f>'Cumul annuel'!A28</f>
        <v/>
      </c>
      <c r="B28" s="1321" t="n">
        <v>1450000</v>
      </c>
      <c r="C28" s="1018">
        <f>D28-B28</f>
        <v/>
      </c>
      <c r="D28" s="1019" t="n">
        <v>1977000</v>
      </c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322">
        <f>D28</f>
        <v/>
      </c>
      <c r="R28" s="1025" t="n">
        <v>5000000</v>
      </c>
      <c r="S28" s="1026">
        <f>Q28-R28</f>
        <v/>
      </c>
      <c r="T28" s="678">
        <f>Q28/R28-1</f>
        <v/>
      </c>
      <c r="U28" s="1322" t="n">
        <v>2888500</v>
      </c>
      <c r="V28" s="1026">
        <f>Q28-U28</f>
        <v/>
      </c>
      <c r="W28" s="678">
        <f>(Q28/U28-1)</f>
        <v/>
      </c>
      <c r="X28" s="163" t="n"/>
    </row>
    <row r="29">
      <c r="A29" s="550">
        <f>'Cumul annuel'!A29</f>
        <v/>
      </c>
      <c r="B29" s="1321" t="n"/>
      <c r="C29" s="1018">
        <f>D29-B29</f>
        <v/>
      </c>
      <c r="D29" s="1019" t="n">
        <v>67993200</v>
      </c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322">
        <f>D29</f>
        <v/>
      </c>
      <c r="R29" s="1025" t="n">
        <v>37500000</v>
      </c>
      <c r="S29" s="1026">
        <f>Q29-R29</f>
        <v/>
      </c>
      <c r="T29" s="678">
        <f>Q29/R29-1</f>
        <v/>
      </c>
      <c r="U29" s="1322" t="n">
        <v>148941900</v>
      </c>
      <c r="V29" s="1026">
        <f>Q29-U29</f>
        <v/>
      </c>
      <c r="W29" s="678">
        <f>(Q29/U29-1)</f>
        <v/>
      </c>
      <c r="X29" s="163" t="n"/>
    </row>
    <row r="30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322">
        <f>D30</f>
        <v/>
      </c>
      <c r="R30" s="1025" t="n">
        <v>0</v>
      </c>
      <c r="S30" s="1026">
        <f>Q30-R30</f>
        <v/>
      </c>
      <c r="T30" s="678">
        <f>Q30/R30-1</f>
        <v/>
      </c>
      <c r="U30" s="1322" t="n">
        <v>0</v>
      </c>
      <c r="V30" s="1026">
        <f>Q30-U30</f>
        <v/>
      </c>
      <c r="W30" s="678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322">
        <f>D31</f>
        <v/>
      </c>
      <c r="R31" s="1025" t="n">
        <v>0</v>
      </c>
      <c r="S31" s="1026">
        <f>Q31-R31</f>
        <v/>
      </c>
      <c r="T31" s="678">
        <f>Q31/R31-1</f>
        <v/>
      </c>
      <c r="U31" s="1322" t="n">
        <v>1400000</v>
      </c>
      <c r="V31" s="1026">
        <f>Q31-U31</f>
        <v/>
      </c>
      <c r="W31" s="678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322">
        <f>D32</f>
        <v/>
      </c>
      <c r="R32" s="1025" t="n">
        <v>0</v>
      </c>
      <c r="S32" s="1026">
        <f>Q32-R32</f>
        <v/>
      </c>
      <c r="T32" s="678">
        <f>Q32/R32-1</f>
        <v/>
      </c>
      <c r="U32" s="1322" t="n">
        <v>0</v>
      </c>
      <c r="V32" s="1026">
        <f>Q32-U32</f>
        <v/>
      </c>
      <c r="W32" s="678">
        <f>(Q32/U32-1)</f>
        <v/>
      </c>
      <c r="X32" s="163" t="n"/>
    </row>
    <row r="33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322">
        <f>D33</f>
        <v/>
      </c>
      <c r="R33" s="1025" t="n">
        <v>0</v>
      </c>
      <c r="S33" s="1026">
        <f>Q33-R33</f>
        <v/>
      </c>
      <c r="T33" s="678">
        <f>Q33/R33-1</f>
        <v/>
      </c>
      <c r="U33" s="1322" t="n">
        <v>0</v>
      </c>
      <c r="V33" s="1026">
        <f>Q33-U33</f>
        <v/>
      </c>
      <c r="W33" s="678">
        <f>(Q33/U33-1)</f>
        <v/>
      </c>
      <c r="X33" s="163" t="n"/>
    </row>
    <row r="34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322">
        <f>D34</f>
        <v/>
      </c>
      <c r="R34" s="1025" t="n">
        <v>0</v>
      </c>
      <c r="S34" s="1026">
        <f>Q34-R34</f>
        <v/>
      </c>
      <c r="T34" s="678">
        <f>Q34/R34-1</f>
        <v/>
      </c>
      <c r="U34" s="1322" t="n">
        <v>0</v>
      </c>
      <c r="V34" s="1026">
        <f>Q34-U34</f>
        <v/>
      </c>
      <c r="W34" s="678">
        <f>(Q34/U34-1)</f>
        <v/>
      </c>
      <c r="X34" s="163" t="n"/>
    </row>
    <row r="35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322">
        <f>D35</f>
        <v/>
      </c>
      <c r="R35" s="1025" t="n">
        <v>66666.66666666667</v>
      </c>
      <c r="S35" s="1026">
        <f>Q35-R35</f>
        <v/>
      </c>
      <c r="T35" s="678">
        <f>Q35/R35-1</f>
        <v/>
      </c>
      <c r="U35" s="1322" t="n">
        <v>0</v>
      </c>
      <c r="V35" s="1026">
        <f>Q35-U35</f>
        <v/>
      </c>
      <c r="W35" s="678">
        <f>(Q35/U35-1)</f>
        <v/>
      </c>
      <c r="X35" s="163" t="n"/>
    </row>
    <row r="36">
      <c r="A36" s="550">
        <f>'Cumul annuel'!A36</f>
        <v/>
      </c>
      <c r="B36" s="1321" t="n"/>
      <c r="C36" s="1018">
        <f>D36-B36</f>
        <v/>
      </c>
      <c r="D36" s="1019" t="n">
        <v>2400000</v>
      </c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322">
        <f>D36</f>
        <v/>
      </c>
      <c r="R36" s="1025" t="n">
        <v>0</v>
      </c>
      <c r="S36" s="1026">
        <f>Q36-R36</f>
        <v/>
      </c>
      <c r="T36" s="678">
        <f>Q36/R36-1</f>
        <v/>
      </c>
      <c r="U36" s="1322" t="n">
        <v>2090000</v>
      </c>
      <c r="V36" s="1026">
        <f>Q36-U36</f>
        <v/>
      </c>
      <c r="W36" s="678">
        <f>(Q36/U36-1)</f>
        <v/>
      </c>
      <c r="X36" s="163" t="n"/>
    </row>
    <row r="37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322">
        <f>D37</f>
        <v/>
      </c>
      <c r="R37" s="1025" t="n">
        <v>833333.3333333334</v>
      </c>
      <c r="S37" s="1026">
        <f>Q37-R37</f>
        <v/>
      </c>
      <c r="T37" s="678">
        <f>Q37/R37-1</f>
        <v/>
      </c>
      <c r="U37" s="1322" t="n">
        <v>23230000</v>
      </c>
      <c r="V37" s="1026">
        <f>Q37-U37</f>
        <v/>
      </c>
      <c r="W37" s="678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>
        <v>37724123</v>
      </c>
      <c r="E38" s="1020" t="n"/>
      <c r="F38" s="1020" t="n"/>
      <c r="G38" s="1021" t="n"/>
      <c r="H38" s="1021" t="n"/>
      <c r="I38" s="1020">
        <f>G38+H38</f>
        <v/>
      </c>
      <c r="J38" s="1020" t="n"/>
      <c r="K38" s="1020" t="n">
        <v>6400000</v>
      </c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322">
        <f>D38</f>
        <v/>
      </c>
      <c r="R38" s="1025" t="n">
        <v>55833333.33333334</v>
      </c>
      <c r="S38" s="1026">
        <f>Q38-R38</f>
        <v/>
      </c>
      <c r="T38" s="678">
        <f>Q38/R38-1</f>
        <v/>
      </c>
      <c r="U38" s="1322" t="n">
        <v>19758000</v>
      </c>
      <c r="V38" s="1026">
        <f>Q38-U38</f>
        <v/>
      </c>
      <c r="W38" s="678">
        <f>(Q38/U38-1)</f>
        <v/>
      </c>
      <c r="X38" s="163" t="n"/>
    </row>
    <row r="39" customForma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322">
        <f>D39</f>
        <v/>
      </c>
      <c r="R39" s="1025" t="n">
        <v>200000</v>
      </c>
      <c r="S39" s="1026">
        <f>Q39-R39</f>
        <v/>
      </c>
      <c r="T39" s="678">
        <f>Q39/R39-1</f>
        <v/>
      </c>
      <c r="U39" s="1322" t="n">
        <v>1800000</v>
      </c>
      <c r="V39" s="1026">
        <f>Q39-U39</f>
        <v/>
      </c>
      <c r="W39" s="678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322">
        <f>D40</f>
        <v/>
      </c>
      <c r="R40" s="1025" t="n">
        <v>0</v>
      </c>
      <c r="S40" s="1026">
        <f>Q40-R40</f>
        <v/>
      </c>
      <c r="T40" s="678">
        <f>Q40/R40-1</f>
        <v/>
      </c>
      <c r="U40" s="1322" t="n">
        <v>103434481</v>
      </c>
      <c r="V40" s="1026">
        <f>Q40-U40</f>
        <v/>
      </c>
      <c r="W40" s="678">
        <f>(Q40/U40-1)</f>
        <v/>
      </c>
      <c r="X40" s="163" t="n"/>
    </row>
    <row r="4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322">
        <f>D41</f>
        <v/>
      </c>
      <c r="R41" s="1025" t="n">
        <v>0</v>
      </c>
      <c r="S41" s="1026">
        <f>Q41-R41</f>
        <v/>
      </c>
      <c r="T41" s="678">
        <f>Q41/R41-1</f>
        <v/>
      </c>
      <c r="U41" s="1322" t="n">
        <v>0</v>
      </c>
      <c r="V41" s="1026">
        <f>Q41-U41</f>
        <v/>
      </c>
      <c r="W41" s="678">
        <f>(Q41/U41-1)</f>
        <v/>
      </c>
      <c r="X41" s="163" t="n"/>
    </row>
    <row r="42">
      <c r="A42" s="550">
        <f>'Cumul annuel'!A42</f>
        <v/>
      </c>
      <c r="B42" s="1321" t="n">
        <v>763750</v>
      </c>
      <c r="C42" s="1018">
        <f>D42-B42</f>
        <v/>
      </c>
      <c r="D42" s="1019" t="n">
        <v>2233030</v>
      </c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322">
        <f>D42</f>
        <v/>
      </c>
      <c r="R42" s="1025" t="n">
        <v>1000000</v>
      </c>
      <c r="S42" s="1026">
        <f>Q42-R42</f>
        <v/>
      </c>
      <c r="T42" s="678">
        <f>Q42/R42-1</f>
        <v/>
      </c>
      <c r="U42" s="1322" t="n">
        <v>763750</v>
      </c>
      <c r="V42" s="1026">
        <f>Q42-U42</f>
        <v/>
      </c>
      <c r="W42" s="678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322">
        <f>D43</f>
        <v/>
      </c>
      <c r="R43" s="1025" t="n">
        <v>0</v>
      </c>
      <c r="S43" s="1026">
        <f>Q43-R43</f>
        <v/>
      </c>
      <c r="T43" s="678">
        <f>Q43/R43-1</f>
        <v/>
      </c>
      <c r="U43" s="1322" t="n">
        <v>0</v>
      </c>
      <c r="V43" s="1026">
        <f>Q43-U43</f>
        <v/>
      </c>
      <c r="W43" s="678">
        <f>(Q43/U43-1)</f>
        <v/>
      </c>
      <c r="X43" s="163" t="n"/>
    </row>
    <row r="44" customForma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>
        <v>13000000</v>
      </c>
      <c r="L44" s="1020" t="n">
        <v>951268</v>
      </c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322">
        <f>D44</f>
        <v/>
      </c>
      <c r="R44" s="1025" t="n">
        <v>0</v>
      </c>
      <c r="S44" s="1026">
        <f>Q44-R44</f>
        <v/>
      </c>
      <c r="T44" s="678">
        <f>Q44/R44-1</f>
        <v/>
      </c>
      <c r="U44" s="1322" t="n">
        <v>0</v>
      </c>
      <c r="V44" s="1026">
        <f>Q44-U44</f>
        <v/>
      </c>
      <c r="W44" s="678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>
        <v>4500000</v>
      </c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322">
        <f>D45</f>
        <v/>
      </c>
      <c r="R45" s="1025" t="n">
        <v>25000000</v>
      </c>
      <c r="S45" s="1026">
        <f>Q45-R45</f>
        <v/>
      </c>
      <c r="T45" s="678">
        <f>Q45/R45-1</f>
        <v/>
      </c>
      <c r="U45" s="1322" t="n">
        <v>70513299</v>
      </c>
      <c r="V45" s="1026">
        <f>Q45-U45</f>
        <v/>
      </c>
      <c r="W45" s="678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322">
        <f>D46</f>
        <v/>
      </c>
      <c r="R46" s="1025" t="n">
        <v>0</v>
      </c>
      <c r="S46" s="1026">
        <f>Q46-R46</f>
        <v/>
      </c>
      <c r="T46" s="678">
        <f>Q46/R46-1</f>
        <v/>
      </c>
      <c r="U46" s="1322" t="n">
        <v>0</v>
      </c>
      <c r="V46" s="1026">
        <f>Q46-U46</f>
        <v/>
      </c>
      <c r="W46" s="678">
        <f>(Q46/U46-1)</f>
        <v/>
      </c>
      <c r="X46" s="163" t="n"/>
    </row>
    <row r="47">
      <c r="A47" s="550">
        <f>'Cumul annuel'!A47</f>
        <v/>
      </c>
      <c r="B47" s="1321" t="n">
        <v>18000000</v>
      </c>
      <c r="C47" s="1018">
        <f>D47-B47</f>
        <v/>
      </c>
      <c r="D47" s="1019" t="n">
        <v>19200000</v>
      </c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322">
        <f>D47</f>
        <v/>
      </c>
      <c r="R47" s="1025" t="n">
        <v>17916666.66666667</v>
      </c>
      <c r="S47" s="1026">
        <f>Q47-R47</f>
        <v/>
      </c>
      <c r="T47" s="678">
        <f>Q47/R47-1</f>
        <v/>
      </c>
      <c r="U47" s="1322" t="n">
        <v>18000000</v>
      </c>
      <c r="V47" s="1026">
        <f>Q47-U47</f>
        <v/>
      </c>
      <c r="W47" s="678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322">
        <f>D48</f>
        <v/>
      </c>
      <c r="R48" s="1025" t="n">
        <v>400000</v>
      </c>
      <c r="S48" s="1026">
        <f>Q48-R48</f>
        <v/>
      </c>
      <c r="T48" s="678">
        <f>Q48/R48-1</f>
        <v/>
      </c>
      <c r="U48" s="1322" t="n">
        <v>0</v>
      </c>
      <c r="V48" s="1026">
        <f>Q48-U48</f>
        <v/>
      </c>
      <c r="W48" s="678">
        <f>(Q48/U48-1)</f>
        <v/>
      </c>
      <c r="X48" s="163" t="n"/>
    </row>
    <row r="49">
      <c r="A49" s="550">
        <f>'Cumul annuel'!A49</f>
        <v/>
      </c>
      <c r="B49" s="1321" t="n">
        <v>48545000</v>
      </c>
      <c r="C49" s="1018">
        <f>D49-B49</f>
        <v/>
      </c>
      <c r="D49" s="1019" t="n">
        <v>383216160</v>
      </c>
      <c r="E49" s="1020" t="n"/>
      <c r="F49" s="1020" t="n"/>
      <c r="G49" s="1021" t="n"/>
      <c r="H49" s="1021" t="n"/>
      <c r="I49" s="1020">
        <f>G49+H49</f>
        <v/>
      </c>
      <c r="J49" s="1020" t="n"/>
      <c r="K49" s="1020" t="n">
        <v>82000000</v>
      </c>
      <c r="L49" s="1020" t="n">
        <v>2835000</v>
      </c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322">
        <f>D49</f>
        <v/>
      </c>
      <c r="R49" s="1025" t="n">
        <v>191333333.3333333</v>
      </c>
      <c r="S49" s="1026">
        <f>Q49-R49</f>
        <v/>
      </c>
      <c r="T49" s="678">
        <f>Q49/R49-1</f>
        <v/>
      </c>
      <c r="U49" s="1322" t="n">
        <v>0</v>
      </c>
      <c r="V49" s="1026">
        <f>Q49-U49</f>
        <v/>
      </c>
      <c r="W49" s="678">
        <f>(Q49/U49-1)</f>
        <v/>
      </c>
      <c r="X49" s="163" t="n"/>
    </row>
    <row r="50" ht="15" customHeight="1" thickBot="1">
      <c r="A50" s="550">
        <f>'Cumul annuel'!A50</f>
        <v/>
      </c>
      <c r="B50" s="1323" t="n">
        <v>11000000</v>
      </c>
      <c r="C50" s="1018">
        <f>D50-B50</f>
        <v/>
      </c>
      <c r="D50" s="1034" t="n">
        <v>11914080</v>
      </c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322">
        <f>D50</f>
        <v/>
      </c>
      <c r="R50" s="1025" t="n">
        <v>0</v>
      </c>
      <c r="S50" s="1026">
        <f>Q50-R50</f>
        <v/>
      </c>
      <c r="T50" s="678">
        <f>Q50/R50-1</f>
        <v/>
      </c>
      <c r="U50" s="1322" t="n">
        <v>0</v>
      </c>
      <c r="V50" s="1026">
        <f>Q50-U50</f>
        <v/>
      </c>
      <c r="W50" s="678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SUM(K4:K50)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25">
        <f>SUM(R4:R50)</f>
        <v/>
      </c>
      <c r="S51" s="1045">
        <f>Q51-R51</f>
        <v/>
      </c>
      <c r="T51" s="494">
        <f>Q51/R51-1</f>
        <v/>
      </c>
      <c r="U51" s="1044">
        <f>SUM(U4:U50)</f>
        <v/>
      </c>
      <c r="V51" s="1047">
        <f>Q51-U51</f>
        <v/>
      </c>
      <c r="W51" s="494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 t="n"/>
      <c r="O52" s="1003" t="n"/>
      <c r="P52" s="235" t="inlineStr">
        <is>
          <t xml:space="preserve">Rétrocessions </t>
        </is>
      </c>
      <c r="Q52" s="240" t="n"/>
      <c r="R52" s="1331" t="n"/>
      <c r="S52" s="233" t="n"/>
      <c r="T52" s="234" t="n"/>
      <c r="U52" s="135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>
        <v>392000</v>
      </c>
      <c r="V54" s="1062">
        <f>Q54-U54</f>
        <v/>
      </c>
      <c r="W54" s="678">
        <f>(Q54/U54-1)</f>
        <v/>
      </c>
      <c r="X54" s="133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C56" s="1069" t="n"/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>
        <v>3359312</v>
      </c>
      <c r="V56" s="1062">
        <f>Q56-U56</f>
        <v/>
      </c>
      <c r="W56" s="678">
        <f>(Q56/U56-1)</f>
        <v/>
      </c>
      <c r="X56" s="163" t="n"/>
    </row>
    <row r="57" ht="19" customHeight="1" thickBot="1">
      <c r="B57" s="1340" t="inlineStr">
        <is>
          <t>Loyer</t>
        </is>
      </c>
      <c r="C57" s="1354">
        <f>B51</f>
        <v/>
      </c>
      <c r="D57" s="1355">
        <f>C57/$D$54</f>
        <v/>
      </c>
      <c r="J57" s="1003" t="n"/>
      <c r="K57" s="1003" t="n"/>
      <c r="L57" s="1003" t="n"/>
      <c r="M57" s="691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5">
        <f>R51+R52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454">
        <f>(Q57/U57-1)</f>
        <v/>
      </c>
      <c r="X57" s="1076" t="n"/>
    </row>
    <row r="58" ht="16" customHeight="1" thickBot="1">
      <c r="B58" s="1342" t="inlineStr">
        <is>
          <t>LOGP</t>
        </is>
      </c>
      <c r="C58" s="1069">
        <f>C51</f>
        <v/>
      </c>
      <c r="D58" s="1356">
        <f>C58/$D$54</f>
        <v/>
      </c>
      <c r="J58" s="1003" t="n"/>
      <c r="K58" s="1003" t="n"/>
      <c r="L58" s="1003" t="n"/>
      <c r="M58" s="691" t="n"/>
      <c r="N58" s="1003" t="n"/>
      <c r="O58" s="1003" t="n"/>
      <c r="P58" s="1317" t="inlineStr">
        <is>
          <t>R26</t>
        </is>
      </c>
      <c r="Q58" s="1006" t="n"/>
      <c r="R58" s="845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 ht="15" customHeight="1" thickBot="1">
      <c r="B59" s="1345" t="inlineStr">
        <is>
          <t>Rétrocession</t>
        </is>
      </c>
      <c r="C59" s="1357">
        <f>D52</f>
        <v/>
      </c>
      <c r="D59" s="1358">
        <f>C59/$D$54</f>
        <v/>
      </c>
      <c r="J59" s="1003" t="n"/>
      <c r="K59" s="1003" t="n"/>
      <c r="L59" s="1003" t="n"/>
      <c r="M59" s="691" t="n"/>
      <c r="N59" s="1003" t="n"/>
      <c r="O59" s="1003" t="n"/>
      <c r="P59" s="56" t="n"/>
    </row>
    <row r="60" ht="18.5" customHeight="1">
      <c r="J60" s="1003" t="n"/>
      <c r="K60" s="1003" t="n"/>
      <c r="L60" s="1003" t="n"/>
      <c r="M60" s="727" t="n"/>
      <c r="N60" s="1003" t="n"/>
      <c r="O60" s="1003" t="n"/>
      <c r="P60" s="56" t="n"/>
      <c r="R60" s="1343" t="n"/>
    </row>
    <row r="61">
      <c r="M61" s="1003" t="n"/>
      <c r="N61" s="1003" t="n"/>
      <c r="O61" s="1003" t="n"/>
      <c r="P61" s="56" t="n"/>
    </row>
    <row r="62">
      <c r="M62" s="1003" t="n"/>
      <c r="N62" s="1003" t="n"/>
      <c r="O62" s="1003" t="n"/>
      <c r="P62" s="56" t="n"/>
    </row>
    <row r="63">
      <c r="M63" s="1003" t="n"/>
      <c r="N63" s="1003" t="n"/>
      <c r="O63" s="1003" t="n"/>
      <c r="P63" s="56" t="n"/>
      <c r="R63" s="1352" t="n"/>
    </row>
    <row r="64">
      <c r="M64" s="1003" t="n"/>
      <c r="N64" s="1003" t="n"/>
      <c r="O64" s="1003" t="n"/>
      <c r="P64" s="56" t="n"/>
    </row>
    <row r="65">
      <c r="M65" s="1003" t="n"/>
      <c r="N65" s="1003" t="n"/>
      <c r="O65" s="1003" t="n"/>
      <c r="P65" s="56" t="n"/>
    </row>
    <row r="66">
      <c r="M66" s="1003" t="n"/>
      <c r="N66" s="1003" t="n"/>
      <c r="O66" s="1003" t="n"/>
      <c r="P66" s="56" t="n"/>
    </row>
    <row r="67">
      <c r="M67" s="1003" t="n"/>
      <c r="N67" s="1003" t="n"/>
      <c r="O67" s="1003" t="n"/>
      <c r="P67" s="56" t="n"/>
    </row>
    <row r="68">
      <c r="M68" s="1003" t="n"/>
      <c r="N68" s="1003" t="n"/>
      <c r="O68" s="1003" t="n"/>
      <c r="P68" s="56" t="n"/>
    </row>
    <row r="69">
      <c r="M69" s="1003" t="n"/>
      <c r="N69" s="1003" t="n"/>
      <c r="O69" s="1003" t="n"/>
      <c r="P69" s="56" t="n"/>
    </row>
    <row r="70">
      <c r="M70" s="1003" t="n"/>
      <c r="N70" s="1003" t="n"/>
      <c r="O70" s="1003" t="n"/>
      <c r="P70" s="56" t="n"/>
    </row>
    <row r="71">
      <c r="M71" s="1003" t="n"/>
      <c r="N71" s="1003" t="n"/>
      <c r="O71" s="1003" t="n"/>
      <c r="P71" s="56" t="n"/>
    </row>
    <row r="72">
      <c r="M72" s="1003" t="n"/>
      <c r="N72" s="1003" t="n"/>
      <c r="O72" s="1003" t="n"/>
      <c r="P72" s="56" t="n"/>
    </row>
    <row r="73">
      <c r="M73" s="1003" t="n"/>
      <c r="N73" s="1003" t="n"/>
      <c r="O73" s="1003" t="n"/>
      <c r="P73" s="56" t="n"/>
    </row>
    <row r="74">
      <c r="M74" s="1003" t="n"/>
      <c r="N74" s="1003" t="n"/>
      <c r="O74" s="1003" t="n"/>
      <c r="P74" s="56" t="n"/>
    </row>
    <row r="75">
      <c r="M75" s="1003" t="n"/>
      <c r="N75" s="1003" t="n"/>
      <c r="O75" s="1003" t="n"/>
      <c r="P75" s="56" t="n"/>
    </row>
    <row r="76">
      <c r="M76" s="1003" t="n"/>
      <c r="N76" s="1003" t="n"/>
      <c r="O76" s="1003" t="n"/>
      <c r="P76" s="56" t="n"/>
    </row>
    <row r="77">
      <c r="M77" s="1003" t="n"/>
      <c r="N77" s="1003" t="n"/>
      <c r="O77" s="1003" t="n"/>
      <c r="P77" s="56" t="n"/>
    </row>
    <row r="78">
      <c r="M78" s="1003" t="n"/>
      <c r="N78" s="1003" t="n"/>
      <c r="O78" s="1003" t="n"/>
      <c r="P78" s="56" t="n"/>
    </row>
    <row r="79">
      <c r="M79" s="1003" t="n"/>
      <c r="N79" s="1003" t="n"/>
      <c r="O79" s="1003" t="n"/>
      <c r="P79" s="56" t="n"/>
    </row>
    <row r="80">
      <c r="M80" s="1003" t="n"/>
      <c r="N80" s="1003" t="n"/>
      <c r="O80" s="1003" t="n"/>
      <c r="P80" s="56" t="n"/>
    </row>
    <row r="81">
      <c r="M81" s="1003" t="n"/>
      <c r="N81" s="1003" t="n"/>
      <c r="O81" s="1003" t="n"/>
      <c r="P81" s="56" t="n"/>
    </row>
    <row r="82">
      <c r="M82" s="1003" t="n"/>
      <c r="N82" s="1003" t="n"/>
      <c r="O82" s="1003" t="n"/>
      <c r="P82" s="56" t="n"/>
    </row>
  </sheetData>
  <mergeCells count="10">
    <mergeCell ref="U2:W2"/>
    <mergeCell ref="B1:O1"/>
    <mergeCell ref="R2:T2"/>
    <mergeCell ref="P1:X1"/>
    <mergeCell ref="R58:T58"/>
    <mergeCell ref="P2:Q2"/>
    <mergeCell ref="U58:W58"/>
    <mergeCell ref="P58:Q58"/>
    <mergeCell ref="E2:O2"/>
    <mergeCell ref="B2:D2"/>
  </mergeCells>
  <pageMargins left="0.7" right="0.7" top="0.75" bottom="0.75" header="0.3" footer="0.3"/>
  <pageSetup orientation="landscape" paperSize="9" scale="24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/>
  </sheetPr>
  <dimension ref="A1:X72"/>
  <sheetViews>
    <sheetView zoomScale="96" zoomScaleNormal="96" workbookViewId="0">
      <pane xSplit="4" ySplit="2" topLeftCell="P39" activePane="bottomRight" state="frozen"/>
      <selection pane="topRight" activeCell="E1" sqref="E1"/>
      <selection pane="bottomLeft" activeCell="A3" sqref="A3"/>
      <selection pane="bottomRight" activeCell="K19" sqref="K19"/>
    </sheetView>
  </sheetViews>
  <sheetFormatPr baseColWidth="10" defaultColWidth="11.453125" defaultRowHeight="14.5"/>
  <cols>
    <col width="34.81640625" bestFit="1" customWidth="1" style="545" min="1" max="1"/>
    <col width="14.26953125" customWidth="1" style="1359" min="2" max="2"/>
    <col width="15.54296875" customWidth="1" style="545" min="3" max="3"/>
    <col width="19.1796875" customWidth="1" style="545" min="4" max="4"/>
    <col width="17.7265625" bestFit="1" customWidth="1" style="545" min="5" max="5"/>
    <col width="16.453125" customWidth="1" style="1359" min="6" max="6"/>
    <col width="14.26953125" customWidth="1" style="1359" min="7" max="7"/>
    <col width="13.26953125" customWidth="1" style="1359" min="8" max="8"/>
    <col width="17.7265625" customWidth="1" style="1359" min="9" max="9"/>
    <col width="17.453125" customWidth="1" style="1359" min="10" max="10"/>
    <col width="17.7265625" bestFit="1" customWidth="1" style="1359" min="11" max="12"/>
    <col width="16.1796875" bestFit="1" customWidth="1" style="545" min="13" max="13"/>
    <col width="31.26953125" customWidth="1" style="545" min="14" max="14"/>
    <col width="18.26953125" bestFit="1" customWidth="1" style="545" min="15" max="15"/>
    <col width="34.453125" bestFit="1" customWidth="1" style="545" min="16" max="16"/>
    <col width="19.1796875" bestFit="1" customWidth="1" style="545" min="17" max="18"/>
    <col width="18.7265625" customWidth="1" style="545" min="19" max="19"/>
    <col width="9.7265625" customWidth="1" style="545" min="20" max="20"/>
    <col width="19.1796875" bestFit="1" customWidth="1" style="545" min="21" max="22"/>
    <col width="10.81640625" customWidth="1" style="545" min="23" max="23"/>
    <col width="86.7265625" bestFit="1" customWidth="1" style="545" min="24" max="24"/>
    <col width="11.453125" customWidth="1" style="545" min="25" max="16384"/>
  </cols>
  <sheetData>
    <row r="1" ht="27" customHeight="1" thickBot="1">
      <c r="B1" s="1360" t="inlineStr">
        <is>
          <t xml:space="preserve">CAP Avril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61" t="inlineStr">
        <is>
          <t>BASE</t>
        </is>
      </c>
      <c r="C2" s="1005" t="n"/>
      <c r="D2" s="1006" t="n"/>
      <c r="E2" s="1317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547" t="n"/>
      <c r="B3" s="1362" t="inlineStr">
        <is>
          <t>LOYER</t>
        </is>
      </c>
      <c r="C3" s="681" t="inlineStr">
        <is>
          <t>Plog &amp; Divers</t>
        </is>
      </c>
      <c r="D3" s="673" t="inlineStr">
        <is>
          <t>Total BASE</t>
        </is>
      </c>
      <c r="E3" s="682" t="inlineStr">
        <is>
          <t>IMAR</t>
        </is>
      </c>
      <c r="F3" s="1363" t="inlineStr">
        <is>
          <t>HINT</t>
        </is>
      </c>
      <c r="G3" s="1359" t="inlineStr">
        <is>
          <t>IAER</t>
        </is>
      </c>
      <c r="H3" s="1359" t="inlineStr">
        <is>
          <t>EAER</t>
        </is>
      </c>
      <c r="I3" s="1363" t="inlineStr">
        <is>
          <t>AERIEN</t>
        </is>
      </c>
      <c r="J3" s="1363" t="inlineStr">
        <is>
          <t>EXPORT</t>
        </is>
      </c>
      <c r="K3" s="1363" t="inlineStr">
        <is>
          <t>SIRT</t>
        </is>
      </c>
      <c r="L3" s="1363" t="inlineStr">
        <is>
          <t>Afritramp</t>
        </is>
      </c>
      <c r="M3" s="1363" t="inlineStr">
        <is>
          <t>Meet &amp; Greet</t>
        </is>
      </c>
      <c r="N3" s="1364" t="inlineStr">
        <is>
          <t>CA GENERE Autres département</t>
        </is>
      </c>
      <c r="O3" s="136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726" t="inlineStr">
        <is>
          <t>Budget 2026</t>
        </is>
      </c>
      <c r="S3" s="724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21" t="n"/>
      <c r="C4" s="1366">
        <f>D4-B4</f>
        <v/>
      </c>
      <c r="D4" s="1367" t="n"/>
      <c r="E4" s="1368" t="n"/>
      <c r="F4" s="1369" t="n"/>
      <c r="G4" s="1370" t="n"/>
      <c r="H4" s="1370" t="n"/>
      <c r="I4" s="1369">
        <f>G4+H4</f>
        <v/>
      </c>
      <c r="J4" s="1369" t="n"/>
      <c r="K4" s="1369" t="n"/>
      <c r="L4" s="1369" t="n"/>
      <c r="M4" s="1369" t="n"/>
      <c r="N4" s="1371">
        <f>J4+I4+F4+E4+L4+M4+K4</f>
        <v/>
      </c>
      <c r="O4" s="1372">
        <f>N4+D4</f>
        <v/>
      </c>
      <c r="P4" s="550">
        <f>'Cumul annuel'!A4</f>
        <v/>
      </c>
      <c r="Q4" s="1373">
        <f>D4</f>
        <v/>
      </c>
      <c r="R4" s="1019" t="n">
        <v>0</v>
      </c>
      <c r="S4" s="1374">
        <f>Q4-R4</f>
        <v/>
      </c>
      <c r="T4" s="560" t="n"/>
      <c r="U4" s="1373" t="n">
        <v>0</v>
      </c>
      <c r="V4" s="1375">
        <f>Q4-U4</f>
        <v/>
      </c>
      <c r="W4" s="560">
        <f>(Q4/U4-1)</f>
        <v/>
      </c>
      <c r="X4" s="561" t="n"/>
    </row>
    <row r="5">
      <c r="A5" s="550">
        <f>'Cumul annuel'!A5</f>
        <v/>
      </c>
      <c r="B5" s="1321" t="n">
        <v>18600000</v>
      </c>
      <c r="C5" s="1366">
        <f>D5-B5</f>
        <v/>
      </c>
      <c r="D5" s="1367" t="n">
        <v>20284056</v>
      </c>
      <c r="E5" s="1368" t="n"/>
      <c r="F5" s="1369" t="n"/>
      <c r="G5" s="1370" t="n"/>
      <c r="H5" s="1370" t="n"/>
      <c r="I5" s="1369">
        <f>G5+H5</f>
        <v/>
      </c>
      <c r="J5" s="1369" t="n"/>
      <c r="K5" s="1369" t="n"/>
      <c r="L5" s="1369" t="n"/>
      <c r="M5" s="1369" t="n"/>
      <c r="N5" s="1371">
        <f>J5+I5+F5+E5+L5+M5+K5</f>
        <v/>
      </c>
      <c r="O5" s="1372">
        <f>N5+D5</f>
        <v/>
      </c>
      <c r="P5" s="550">
        <f>'Cumul annuel'!A5</f>
        <v/>
      </c>
      <c r="Q5" s="1373">
        <f>D5</f>
        <v/>
      </c>
      <c r="R5" s="1019" t="n">
        <v>6666666.666666667</v>
      </c>
      <c r="S5" s="1374">
        <f>Q5-R5</f>
        <v/>
      </c>
      <c r="T5" s="560">
        <f>Q5/R5-1</f>
        <v/>
      </c>
      <c r="U5" s="1373" t="n">
        <v>3407668</v>
      </c>
      <c r="V5" s="1376">
        <f>Q5-U5</f>
        <v/>
      </c>
      <c r="W5" s="560">
        <f>(Q5/U5-1)</f>
        <v/>
      </c>
      <c r="X5" s="561" t="n"/>
    </row>
    <row r="6">
      <c r="A6" s="550">
        <f>'Cumul annuel'!A6</f>
        <v/>
      </c>
      <c r="B6" s="1321" t="n">
        <v>33000000</v>
      </c>
      <c r="C6" s="1366">
        <f>D6-B6</f>
        <v/>
      </c>
      <c r="D6" s="1367" t="n">
        <v>33000000</v>
      </c>
      <c r="E6" s="1368" t="n"/>
      <c r="F6" s="1369" t="n"/>
      <c r="G6" s="1370" t="n"/>
      <c r="H6" s="1370" t="n"/>
      <c r="I6" s="1369">
        <f>G6+H6</f>
        <v/>
      </c>
      <c r="J6" s="1369" t="n"/>
      <c r="K6" s="1369" t="n"/>
      <c r="L6" s="1369" t="n"/>
      <c r="M6" s="1369" t="n"/>
      <c r="N6" s="1371">
        <f>J6+I6+F6+E6+L6+M6+K6</f>
        <v/>
      </c>
      <c r="O6" s="1372">
        <f>N6+D6</f>
        <v/>
      </c>
      <c r="P6" s="550">
        <f>'Cumul annuel'!A6</f>
        <v/>
      </c>
      <c r="Q6" s="1373">
        <f>D6</f>
        <v/>
      </c>
      <c r="R6" s="1019" t="n">
        <v>10750000</v>
      </c>
      <c r="S6" s="1374">
        <f>Q6-R6</f>
        <v/>
      </c>
      <c r="T6" s="560">
        <f>Q6/R6-1</f>
        <v/>
      </c>
      <c r="U6" s="1373" t="n">
        <v>0</v>
      </c>
      <c r="V6" s="1375">
        <f>Q6-U6</f>
        <v/>
      </c>
      <c r="W6" s="560">
        <f>(Q6/U6-1)</f>
        <v/>
      </c>
      <c r="X6" s="561" t="n"/>
    </row>
    <row r="7">
      <c r="A7" s="550">
        <f>'Cumul annuel'!A7</f>
        <v/>
      </c>
      <c r="B7" s="1321" t="n"/>
      <c r="C7" s="1366">
        <f>D7-B7</f>
        <v/>
      </c>
      <c r="D7" s="1367" t="n">
        <v>6059636</v>
      </c>
      <c r="E7" s="1368" t="n">
        <v>86210</v>
      </c>
      <c r="F7" s="1369" t="n"/>
      <c r="G7" s="1370" t="n"/>
      <c r="H7" s="1370" t="n"/>
      <c r="I7" s="1369">
        <f>G7+H7</f>
        <v/>
      </c>
      <c r="J7" s="1369" t="n"/>
      <c r="K7" s="1369" t="n"/>
      <c r="L7" s="1369" t="n"/>
      <c r="M7" s="1369" t="n"/>
      <c r="N7" s="1371">
        <f>J7+I7+F7+E7+L7+M7+K7</f>
        <v/>
      </c>
      <c r="O7" s="1372">
        <f>N7+D7</f>
        <v/>
      </c>
      <c r="P7" s="550">
        <f>'Cumul annuel'!A7</f>
        <v/>
      </c>
      <c r="Q7" s="1373">
        <f>D7</f>
        <v/>
      </c>
      <c r="R7" s="1019" t="n">
        <v>50000000</v>
      </c>
      <c r="S7" s="1374">
        <f>Q7-R7</f>
        <v/>
      </c>
      <c r="T7" s="560">
        <f>Q7/R7-1</f>
        <v/>
      </c>
      <c r="U7" s="1373" t="n">
        <v>29175497</v>
      </c>
      <c r="V7" s="1376">
        <f>Q7-U7</f>
        <v/>
      </c>
      <c r="W7" s="560">
        <f>(Q7/U7-1)</f>
        <v/>
      </c>
      <c r="X7" s="561" t="n"/>
    </row>
    <row r="8">
      <c r="A8" s="550">
        <f>'Cumul annuel'!A8</f>
        <v/>
      </c>
      <c r="B8" s="1321" t="n"/>
      <c r="C8" s="1366">
        <f>D8-B8</f>
        <v/>
      </c>
      <c r="D8" s="1367" t="n"/>
      <c r="E8" s="1368" t="n"/>
      <c r="F8" s="1369" t="n"/>
      <c r="G8" s="1370" t="n"/>
      <c r="H8" s="1370" t="n"/>
      <c r="I8" s="1369">
        <f>G8+H8</f>
        <v/>
      </c>
      <c r="J8" s="1369" t="n"/>
      <c r="K8" s="1369" t="n"/>
      <c r="L8" s="1369" t="n"/>
      <c r="M8" s="1369" t="n"/>
      <c r="N8" s="1371">
        <f>J8+I8+F8+E8+L8+M8+K8</f>
        <v/>
      </c>
      <c r="O8" s="1372">
        <f>N8+D8</f>
        <v/>
      </c>
      <c r="P8" s="550">
        <f>'Cumul annuel'!A8</f>
        <v/>
      </c>
      <c r="Q8" s="1373">
        <f>D8</f>
        <v/>
      </c>
      <c r="R8" s="1019" t="n">
        <v>0</v>
      </c>
      <c r="S8" s="1374">
        <f>Q8-R8</f>
        <v/>
      </c>
      <c r="T8" s="560">
        <f>Q8/R8-1</f>
        <v/>
      </c>
      <c r="U8" s="1373" t="n">
        <v>424255825</v>
      </c>
      <c r="V8" s="1375">
        <f>Q8-U8</f>
        <v/>
      </c>
      <c r="W8" s="560">
        <f>(Q8/U8-1)</f>
        <v/>
      </c>
      <c r="X8" s="561" t="n"/>
    </row>
    <row r="9">
      <c r="A9" s="550">
        <f>'Cumul annuel'!A9</f>
        <v/>
      </c>
      <c r="B9" s="1321" t="n"/>
      <c r="C9" s="1366">
        <f>D9-B9</f>
        <v/>
      </c>
      <c r="D9" s="1367" t="n">
        <v>32183413</v>
      </c>
      <c r="E9" s="1368" t="n"/>
      <c r="F9" s="1369" t="n"/>
      <c r="G9" s="1370" t="n"/>
      <c r="H9" s="1370" t="n"/>
      <c r="I9" s="1369">
        <f>G9+H9</f>
        <v/>
      </c>
      <c r="J9" s="1369" t="n"/>
      <c r="K9" s="1369" t="n">
        <v>4888000</v>
      </c>
      <c r="L9" s="1369" t="n"/>
      <c r="M9" s="1369" t="n"/>
      <c r="N9" s="1371">
        <f>J9+I9+F9+E9+L9+M9+K9</f>
        <v/>
      </c>
      <c r="O9" s="1372">
        <f>N9+D9</f>
        <v/>
      </c>
      <c r="P9" s="550">
        <f>'Cumul annuel'!A9</f>
        <v/>
      </c>
      <c r="Q9" s="1373">
        <f>D9</f>
        <v/>
      </c>
      <c r="R9" s="1019" t="n">
        <v>833333.3333333334</v>
      </c>
      <c r="S9" s="1374">
        <f>Q9-R9</f>
        <v/>
      </c>
      <c r="T9" s="560">
        <f>Q9/R9-1</f>
        <v/>
      </c>
      <c r="U9" s="1373" t="n">
        <v>0</v>
      </c>
      <c r="V9" s="1375">
        <f>Q9-U9</f>
        <v/>
      </c>
      <c r="W9" s="560">
        <f>(Q9/U9-1)</f>
        <v/>
      </c>
      <c r="X9" s="561" t="n"/>
    </row>
    <row r="10">
      <c r="A10" s="550">
        <f>'Cumul annuel'!A10</f>
        <v/>
      </c>
      <c r="B10" s="1321" t="n"/>
      <c r="C10" s="1366">
        <f>D10-B10</f>
        <v/>
      </c>
      <c r="D10" s="1367" t="n">
        <v>1279104</v>
      </c>
      <c r="E10" s="1368" t="n"/>
      <c r="F10" s="1369" t="n"/>
      <c r="G10" s="1370" t="n">
        <v>927331</v>
      </c>
      <c r="H10" s="1370" t="n"/>
      <c r="I10" s="1369">
        <f>G10+H10</f>
        <v/>
      </c>
      <c r="J10" s="1369" t="n"/>
      <c r="K10" s="1369" t="n"/>
      <c r="L10" s="1369" t="n"/>
      <c r="M10" s="1369" t="n"/>
      <c r="N10" s="1371">
        <f>J10+I10+F10+E10+L10+M10+K10</f>
        <v/>
      </c>
      <c r="O10" s="1372">
        <f>N10+D10</f>
        <v/>
      </c>
      <c r="P10" s="550">
        <f>'Cumul annuel'!A10</f>
        <v/>
      </c>
      <c r="Q10" s="1373">
        <f>D10</f>
        <v/>
      </c>
      <c r="R10" s="1019" t="n">
        <v>4600000</v>
      </c>
      <c r="S10" s="1374">
        <f>Q10-R10</f>
        <v/>
      </c>
      <c r="T10" s="560">
        <f>Q10/R10-1</f>
        <v/>
      </c>
      <c r="U10" s="1373" t="n">
        <v>1700358</v>
      </c>
      <c r="V10" s="1375">
        <f>Q10-U10</f>
        <v/>
      </c>
      <c r="W10" s="560">
        <f>(Q10/U10-1)</f>
        <v/>
      </c>
      <c r="X10" s="561" t="n"/>
    </row>
    <row r="11">
      <c r="A11" s="550">
        <f>'Cumul annuel'!A11</f>
        <v/>
      </c>
      <c r="B11" s="1321" t="n"/>
      <c r="C11" s="1366">
        <f>D11-B11</f>
        <v/>
      </c>
      <c r="D11" s="1367" t="n">
        <v>97395200</v>
      </c>
      <c r="E11" s="1368" t="n"/>
      <c r="F11" s="1369" t="n"/>
      <c r="G11" s="1370" t="n"/>
      <c r="H11" s="1370" t="n"/>
      <c r="I11" s="1369">
        <f>G11+H11</f>
        <v/>
      </c>
      <c r="J11" s="1369" t="n"/>
      <c r="K11" s="1369" t="n"/>
      <c r="L11" s="1369" t="n"/>
      <c r="M11" s="1369" t="n"/>
      <c r="N11" s="1371">
        <f>J11+I11+F11+E11+L11+M11+K11</f>
        <v/>
      </c>
      <c r="O11" s="1372">
        <f>N11+D11</f>
        <v/>
      </c>
      <c r="P11" s="550">
        <f>'Cumul annuel'!A11</f>
        <v/>
      </c>
      <c r="Q11" s="1373">
        <f>D11</f>
        <v/>
      </c>
      <c r="R11" s="1019" t="n">
        <v>5833333.333333333</v>
      </c>
      <c r="S11" s="1374">
        <f>Q11-R11</f>
        <v/>
      </c>
      <c r="T11" s="560">
        <f>Q11/R11-1</f>
        <v/>
      </c>
      <c r="U11" s="1373" t="n">
        <v>2301000</v>
      </c>
      <c r="V11" s="1376">
        <f>Q11-U11</f>
        <v/>
      </c>
      <c r="W11" s="560">
        <f>(Q11/U11-1)</f>
        <v/>
      </c>
      <c r="X11" s="561" t="n"/>
    </row>
    <row r="12">
      <c r="A12" s="550">
        <f>'Cumul annuel'!A12</f>
        <v/>
      </c>
      <c r="B12" s="1321" t="n"/>
      <c r="C12" s="1366">
        <f>D12-B12</f>
        <v/>
      </c>
      <c r="D12" s="1367" t="n"/>
      <c r="E12" s="1368" t="n"/>
      <c r="F12" s="1369" t="n"/>
      <c r="G12" s="1370" t="n"/>
      <c r="H12" s="1370" t="n"/>
      <c r="I12" s="1369">
        <f>G12+H12</f>
        <v/>
      </c>
      <c r="J12" s="1369" t="n"/>
      <c r="K12" s="1369" t="n"/>
      <c r="L12" s="1369" t="n">
        <v>327979</v>
      </c>
      <c r="M12" s="1369" t="n"/>
      <c r="N12" s="1371">
        <f>J12+I12+F12+E12+L12+M12+K12</f>
        <v/>
      </c>
      <c r="O12" s="1372">
        <f>N12+D12</f>
        <v/>
      </c>
      <c r="P12" s="550">
        <f>'Cumul annuel'!A12</f>
        <v/>
      </c>
      <c r="Q12" s="1373">
        <f>D12</f>
        <v/>
      </c>
      <c r="R12" s="1019" t="n">
        <v>44251279</v>
      </c>
      <c r="S12" s="1374">
        <f>Q12-R12</f>
        <v/>
      </c>
      <c r="T12" s="560">
        <f>Q12/R12-1</f>
        <v/>
      </c>
      <c r="U12" s="1373" t="n">
        <v>176311</v>
      </c>
      <c r="V12" s="1376">
        <f>Q12-U12</f>
        <v/>
      </c>
      <c r="W12" s="560">
        <f>(Q12/U12-1)</f>
        <v/>
      </c>
      <c r="X12" s="561" t="n"/>
    </row>
    <row r="13">
      <c r="A13" s="550">
        <f>'Cumul annuel'!A13</f>
        <v/>
      </c>
      <c r="B13" s="1321" t="n"/>
      <c r="C13" s="1366">
        <f>D13-B13</f>
        <v/>
      </c>
      <c r="D13" s="1367" t="n"/>
      <c r="E13" s="1368" t="n"/>
      <c r="F13" s="1369" t="n"/>
      <c r="G13" s="1370" t="n"/>
      <c r="H13" s="1370" t="n"/>
      <c r="I13" s="1369">
        <f>G13+H13</f>
        <v/>
      </c>
      <c r="J13" s="1369" t="n"/>
      <c r="K13" s="1369" t="n"/>
      <c r="L13" s="1369" t="n">
        <v>5350000</v>
      </c>
      <c r="M13" s="1369" t="n"/>
      <c r="N13" s="1371">
        <f>J13+I13+F13+E13+L13+M13+K13</f>
        <v/>
      </c>
      <c r="O13" s="1372">
        <f>N13+D13</f>
        <v/>
      </c>
      <c r="P13" s="550">
        <f>'Cumul annuel'!A13</f>
        <v/>
      </c>
      <c r="Q13" s="1373">
        <f>D13</f>
        <v/>
      </c>
      <c r="R13" s="1019" t="n">
        <v>55100388</v>
      </c>
      <c r="S13" s="1374">
        <f>Q13-R13</f>
        <v/>
      </c>
      <c r="T13" s="560">
        <f>Q13/R13-1</f>
        <v/>
      </c>
      <c r="U13" s="1373" t="n">
        <v>0</v>
      </c>
      <c r="V13" s="1370">
        <f>Q13-U13</f>
        <v/>
      </c>
      <c r="W13" s="560">
        <f>(Q13/U13-1)</f>
        <v/>
      </c>
      <c r="X13" s="561" t="n"/>
    </row>
    <row r="14">
      <c r="A14" s="550">
        <f>'Cumul annuel'!A14</f>
        <v/>
      </c>
      <c r="B14" s="1321" t="n"/>
      <c r="C14" s="1366">
        <f>D14-B14</f>
        <v/>
      </c>
      <c r="D14" s="1367" t="n"/>
      <c r="E14" s="1368" t="n"/>
      <c r="F14" s="1369" t="n"/>
      <c r="G14" s="1370" t="n"/>
      <c r="H14" s="1370" t="n"/>
      <c r="I14" s="1369">
        <f>G14+H14</f>
        <v/>
      </c>
      <c r="J14" s="1369" t="n"/>
      <c r="K14" s="1369" t="n"/>
      <c r="L14" s="1369" t="n"/>
      <c r="M14" s="1369" t="n"/>
      <c r="N14" s="1371">
        <f>J14+I14+F14+E14+L14+M14+K14</f>
        <v/>
      </c>
      <c r="O14" s="1372">
        <f>N14+D14</f>
        <v/>
      </c>
      <c r="P14" s="550">
        <f>'Cumul annuel'!A14</f>
        <v/>
      </c>
      <c r="Q14" s="1373">
        <f>D14</f>
        <v/>
      </c>
      <c r="R14" s="1019" t="n">
        <v>0</v>
      </c>
      <c r="S14" s="1374">
        <f>Q14-R14</f>
        <v/>
      </c>
      <c r="T14" s="560">
        <f>Q14/R14-1</f>
        <v/>
      </c>
      <c r="U14" s="1373" t="n">
        <v>0</v>
      </c>
      <c r="V14" s="1370">
        <f>Q14-U14</f>
        <v/>
      </c>
      <c r="W14" s="560">
        <f>(Q14/U14-1)</f>
        <v/>
      </c>
      <c r="X14" s="561" t="n"/>
    </row>
    <row r="15">
      <c r="A15" s="550">
        <f>'Cumul annuel'!A15</f>
        <v/>
      </c>
      <c r="B15" s="1321" t="n"/>
      <c r="C15" s="1366">
        <f>D15-B15</f>
        <v/>
      </c>
      <c r="D15" s="1367" t="n"/>
      <c r="E15" s="1368" t="n"/>
      <c r="F15" s="1369" t="n"/>
      <c r="G15" s="1370" t="n"/>
      <c r="H15" s="1370" t="n"/>
      <c r="I15" s="1369">
        <f>G15+H15</f>
        <v/>
      </c>
      <c r="J15" s="1369" t="n"/>
      <c r="K15" s="1369" t="n"/>
      <c r="L15" s="1369" t="n"/>
      <c r="M15" s="1369" t="n"/>
      <c r="N15" s="1371">
        <f>J15+I15+F15+E15+L15+M15+K15</f>
        <v/>
      </c>
      <c r="O15" s="1372">
        <f>N15+D15</f>
        <v/>
      </c>
      <c r="P15" s="550">
        <f>'Cumul annuel'!A15</f>
        <v/>
      </c>
      <c r="Q15" s="1373">
        <f>D15</f>
        <v/>
      </c>
      <c r="R15" s="1019" t="n">
        <v>20833333.33333333</v>
      </c>
      <c r="S15" s="1374">
        <f>Q15-R15</f>
        <v/>
      </c>
      <c r="T15" s="560">
        <f>Q15/R15-1</f>
        <v/>
      </c>
      <c r="U15" s="1373" t="n">
        <v>4429153</v>
      </c>
      <c r="V15" s="1375">
        <f>Q15-U15</f>
        <v/>
      </c>
      <c r="W15" s="560">
        <f>(Q15/U15-1)</f>
        <v/>
      </c>
      <c r="X15" s="561" t="n"/>
    </row>
    <row r="16">
      <c r="A16" s="550">
        <f>'Cumul annuel'!A16</f>
        <v/>
      </c>
      <c r="B16" s="1321" t="n"/>
      <c r="C16" s="1366">
        <f>D16-B16</f>
        <v/>
      </c>
      <c r="D16" s="1367" t="n">
        <v>-1290000</v>
      </c>
      <c r="E16" s="1368" t="n"/>
      <c r="F16" s="1369" t="n"/>
      <c r="G16" s="1370" t="n"/>
      <c r="H16" s="1370" t="n"/>
      <c r="I16" s="1369">
        <f>G16+H16</f>
        <v/>
      </c>
      <c r="J16" s="1369" t="n"/>
      <c r="K16" s="1369" t="n"/>
      <c r="L16" s="1369" t="n"/>
      <c r="M16" s="1369" t="n"/>
      <c r="N16" s="1371">
        <f>J16+I16+F16+E16+L16+M16+K16</f>
        <v/>
      </c>
      <c r="O16" s="1372">
        <f>N16+D16</f>
        <v/>
      </c>
      <c r="P16" s="550">
        <f>'Cumul annuel'!A16</f>
        <v/>
      </c>
      <c r="Q16" s="1373">
        <f>D16</f>
        <v/>
      </c>
      <c r="R16" s="1019" t="n">
        <v>833333.3333333334</v>
      </c>
      <c r="S16" s="1374">
        <f>Q16-R16</f>
        <v/>
      </c>
      <c r="T16" s="560">
        <f>Q16/R16-1</f>
        <v/>
      </c>
      <c r="U16" s="1373" t="n">
        <v>-1800000</v>
      </c>
      <c r="V16" s="1370">
        <f>Q16-U16</f>
        <v/>
      </c>
      <c r="W16" s="560">
        <f>(Q16/U16-1)</f>
        <v/>
      </c>
      <c r="X16" s="561" t="n"/>
    </row>
    <row r="17">
      <c r="A17" s="550">
        <f>'Cumul annuel'!A17</f>
        <v/>
      </c>
      <c r="B17" s="1321" t="n">
        <v>27649000</v>
      </c>
      <c r="C17" s="1366">
        <f>D17-B17</f>
        <v/>
      </c>
      <c r="D17" s="1367" t="n">
        <v>59262025</v>
      </c>
      <c r="E17" s="1368" t="n"/>
      <c r="F17" s="1369" t="n"/>
      <c r="G17" s="1370" t="n"/>
      <c r="H17" s="1370" t="n"/>
      <c r="I17" s="1369">
        <f>G17+H17</f>
        <v/>
      </c>
      <c r="J17" s="1369" t="n"/>
      <c r="K17" s="1369" t="n">
        <v>43750000</v>
      </c>
      <c r="L17" s="1369" t="n">
        <v>4311221</v>
      </c>
      <c r="M17" s="1369" t="n"/>
      <c r="N17" s="1371">
        <f>J17+I17+F17+E17+L17+M17+K17</f>
        <v/>
      </c>
      <c r="O17" s="1372">
        <f>N17+D17</f>
        <v/>
      </c>
      <c r="P17" s="550">
        <f>'Cumul annuel'!A17</f>
        <v/>
      </c>
      <c r="Q17" s="1373">
        <f>D17</f>
        <v/>
      </c>
      <c r="R17" s="1019" t="n">
        <v>86111111.1111111</v>
      </c>
      <c r="S17" s="1374">
        <f>Q17-R17</f>
        <v/>
      </c>
      <c r="T17" s="560">
        <f>Q17/R17-1</f>
        <v/>
      </c>
      <c r="U17" s="1373" t="n">
        <v>58902025</v>
      </c>
      <c r="V17" s="1376">
        <f>Q17-U17</f>
        <v/>
      </c>
      <c r="W17" s="560">
        <f>(Q17/U17-1)</f>
        <v/>
      </c>
      <c r="X17" s="561" t="n"/>
    </row>
    <row r="18">
      <c r="A18" s="550">
        <f>'Cumul annuel'!A18</f>
        <v/>
      </c>
      <c r="B18" s="1321" t="n"/>
      <c r="C18" s="1366">
        <f>D18-B18</f>
        <v/>
      </c>
      <c r="D18" s="1367" t="n">
        <v>28504800</v>
      </c>
      <c r="E18" s="1368" t="n"/>
      <c r="F18" s="1369" t="n"/>
      <c r="G18" s="1370" t="n"/>
      <c r="H18" s="1370" t="n"/>
      <c r="I18" s="1369">
        <f>G18+H18</f>
        <v/>
      </c>
      <c r="J18" s="1369" t="n"/>
      <c r="K18" s="1369" t="n"/>
      <c r="L18" s="1369" t="n"/>
      <c r="M18" s="1369" t="n"/>
      <c r="N18" s="1371">
        <f>J18+I18+F18+E18+L18+M18+K18</f>
        <v/>
      </c>
      <c r="O18" s="1372">
        <f>N18+D18</f>
        <v/>
      </c>
      <c r="P18" s="550">
        <f>'Cumul annuel'!A18</f>
        <v/>
      </c>
      <c r="Q18" s="1373">
        <f>D18</f>
        <v/>
      </c>
      <c r="R18" s="1019" t="n">
        <v>0</v>
      </c>
      <c r="S18" s="1374">
        <f>Q18-R18</f>
        <v/>
      </c>
      <c r="T18" s="560">
        <f>Q18/R18-1</f>
        <v/>
      </c>
      <c r="U18" s="1373" t="n">
        <v>0</v>
      </c>
      <c r="V18" s="1370">
        <f>Q18-U18</f>
        <v/>
      </c>
      <c r="W18" s="560">
        <f>(Q18/U18-1)</f>
        <v/>
      </c>
      <c r="X18" s="561" t="n"/>
    </row>
    <row r="19">
      <c r="A19" s="550">
        <f>'Cumul annuel'!A19</f>
        <v/>
      </c>
      <c r="B19" s="1321" t="n">
        <v>2046000</v>
      </c>
      <c r="C19" s="1366">
        <f>D19-B19</f>
        <v/>
      </c>
      <c r="D19" s="1367" t="n">
        <v>4018187</v>
      </c>
      <c r="E19" s="1368" t="n"/>
      <c r="F19" s="1369" t="n"/>
      <c r="G19" s="1370" t="n"/>
      <c r="H19" s="1370" t="n"/>
      <c r="I19" s="1369">
        <f>G19+H19</f>
        <v/>
      </c>
      <c r="J19" s="1369" t="n"/>
      <c r="K19" s="1369" t="n"/>
      <c r="L19" s="1369" t="n"/>
      <c r="M19" s="1369" t="n"/>
      <c r="N19" s="1371">
        <f>J19+I19+F19+E19+L19+M19+K19</f>
        <v/>
      </c>
      <c r="O19" s="1372">
        <f>N19+D19</f>
        <v/>
      </c>
      <c r="P19" s="550">
        <f>'Cumul annuel'!A19</f>
        <v/>
      </c>
      <c r="Q19" s="1373">
        <f>D19</f>
        <v/>
      </c>
      <c r="R19" s="1019" t="n">
        <v>5000000</v>
      </c>
      <c r="S19" s="1374">
        <f>Q19-R19</f>
        <v/>
      </c>
      <c r="T19" s="560">
        <f>Q19/R19-1</f>
        <v/>
      </c>
      <c r="U19" s="1373" t="n">
        <v>6165645</v>
      </c>
      <c r="V19" s="1376">
        <f>Q19-U19</f>
        <v/>
      </c>
      <c r="W19" s="560">
        <f>(Q19/U19-1)</f>
        <v/>
      </c>
      <c r="X19" s="561" t="n"/>
    </row>
    <row r="20">
      <c r="A20" s="550">
        <f>'Cumul annuel'!A20</f>
        <v/>
      </c>
      <c r="B20" s="1321" t="n"/>
      <c r="C20" s="1366">
        <f>D20-B20</f>
        <v/>
      </c>
      <c r="D20" s="1367" t="n"/>
      <c r="E20" s="1368" t="n"/>
      <c r="F20" s="1369" t="n"/>
      <c r="G20" s="1370" t="n"/>
      <c r="H20" s="1370" t="n"/>
      <c r="I20" s="1369">
        <f>G20+H20</f>
        <v/>
      </c>
      <c r="J20" s="1369" t="n"/>
      <c r="K20" s="1369" t="n"/>
      <c r="L20" s="1369" t="n"/>
      <c r="M20" s="1369" t="n"/>
      <c r="N20" s="1371">
        <f>J20+I20+F20+E20+L20+M20+K20</f>
        <v/>
      </c>
      <c r="O20" s="1372">
        <f>N20+D20</f>
        <v/>
      </c>
      <c r="P20" s="550">
        <f>'Cumul annuel'!A20</f>
        <v/>
      </c>
      <c r="Q20" s="1373">
        <f>D20</f>
        <v/>
      </c>
      <c r="R20" s="1019" t="n">
        <v>0</v>
      </c>
      <c r="S20" s="1374">
        <f>Q20-R20</f>
        <v/>
      </c>
      <c r="T20" s="560">
        <f>Q20/R20-1</f>
        <v/>
      </c>
      <c r="U20" s="1373" t="n">
        <v>3748000</v>
      </c>
      <c r="V20" s="1370">
        <f>Q20-U20</f>
        <v/>
      </c>
      <c r="W20" s="560">
        <f>(Q20/U20-1)</f>
        <v/>
      </c>
      <c r="X20" s="561" t="n"/>
    </row>
    <row r="21">
      <c r="A21" s="550">
        <f>'Cumul annuel'!A21</f>
        <v/>
      </c>
      <c r="B21" s="1321" t="n">
        <v>16700000</v>
      </c>
      <c r="C21" s="1366">
        <f>D21-B21</f>
        <v/>
      </c>
      <c r="D21" s="1367" t="n">
        <v>18338359</v>
      </c>
      <c r="E21" s="1368" t="n">
        <v>1898500</v>
      </c>
      <c r="F21" s="1369" t="n">
        <v>1095960</v>
      </c>
      <c r="G21" s="1370" t="n">
        <v>2949442</v>
      </c>
      <c r="H21" s="1370" t="n">
        <v>1194813</v>
      </c>
      <c r="I21" s="1369">
        <f>G21+H21</f>
        <v/>
      </c>
      <c r="J21" s="1369" t="n">
        <v>4292900</v>
      </c>
      <c r="K21" s="1369" t="n"/>
      <c r="L21" s="1369" t="n"/>
      <c r="M21" s="1369" t="n"/>
      <c r="N21" s="1371">
        <f>J21+I21+F21+E21+L21+M21+K21</f>
        <v/>
      </c>
      <c r="O21" s="1372">
        <f>N21+D21</f>
        <v/>
      </c>
      <c r="P21" s="550">
        <f>'Cumul annuel'!A21</f>
        <v/>
      </c>
      <c r="Q21" s="1373">
        <f>D21</f>
        <v/>
      </c>
      <c r="R21" s="1019" t="n">
        <v>20833333.33333333</v>
      </c>
      <c r="S21" s="1374">
        <f>Q21-R21</f>
        <v/>
      </c>
      <c r="T21" s="560">
        <f>Q21/R21-1</f>
        <v/>
      </c>
      <c r="U21" s="1373" t="n">
        <v>34527991</v>
      </c>
      <c r="V21" s="1376">
        <f>Q21-U21</f>
        <v/>
      </c>
      <c r="W21" s="560">
        <f>(Q21/U21-1)</f>
        <v/>
      </c>
      <c r="X21" s="561" t="n"/>
    </row>
    <row r="22">
      <c r="A22" s="550">
        <f>'Cumul annuel'!A22</f>
        <v/>
      </c>
      <c r="B22" s="1321" t="n">
        <v>1470000</v>
      </c>
      <c r="C22" s="1366">
        <f>D22-B22</f>
        <v/>
      </c>
      <c r="D22" s="1367" t="n">
        <v>6286030</v>
      </c>
      <c r="E22" s="1368" t="n"/>
      <c r="F22" s="1369" t="n"/>
      <c r="G22" s="1370" t="n"/>
      <c r="H22" s="1370" t="n"/>
      <c r="I22" s="1369">
        <f>G22+H22</f>
        <v/>
      </c>
      <c r="J22" s="1369" t="n"/>
      <c r="K22" s="1369" t="n"/>
      <c r="L22" s="1369" t="n"/>
      <c r="M22" s="1369" t="n"/>
      <c r="N22" s="1371">
        <f>J22+I22+F22+E22+L22+M22+K22</f>
        <v/>
      </c>
      <c r="O22" s="1372">
        <f>N22+D22</f>
        <v/>
      </c>
      <c r="P22" s="550">
        <f>'Cumul annuel'!A22</f>
        <v/>
      </c>
      <c r="Q22" s="1373">
        <f>D22</f>
        <v/>
      </c>
      <c r="R22" s="1019" t="n">
        <v>13333333.33333333</v>
      </c>
      <c r="S22" s="1374">
        <f>Q22-R22</f>
        <v/>
      </c>
      <c r="T22" s="560">
        <f>Q22/R22-1</f>
        <v/>
      </c>
      <c r="U22" s="1373" t="n">
        <v>6047358</v>
      </c>
      <c r="V22" s="1376">
        <f>Q22-U22</f>
        <v/>
      </c>
      <c r="W22" s="560">
        <f>(Q22/U22-1)</f>
        <v/>
      </c>
      <c r="X22" s="561" t="n"/>
    </row>
    <row r="23">
      <c r="A23" s="550">
        <f>'Cumul annuel'!A23</f>
        <v/>
      </c>
      <c r="B23" s="1321" t="n">
        <v>450000</v>
      </c>
      <c r="C23" s="1366">
        <f>D23-B23</f>
        <v/>
      </c>
      <c r="D23" s="1367" t="n">
        <v>450000</v>
      </c>
      <c r="E23" s="1368" t="n"/>
      <c r="F23" s="1369" t="n"/>
      <c r="G23" s="1370" t="n"/>
      <c r="H23" s="1370" t="n"/>
      <c r="I23" s="1369">
        <f>G23+H23</f>
        <v/>
      </c>
      <c r="J23" s="1369" t="n"/>
      <c r="K23" s="1369" t="n"/>
      <c r="L23" s="1369" t="n"/>
      <c r="M23" s="1369" t="n"/>
      <c r="N23" s="1371">
        <f>J23+I23+F23+E23+L23+M23+K23</f>
        <v/>
      </c>
      <c r="O23" s="1372">
        <f>N23+D23</f>
        <v/>
      </c>
      <c r="P23" s="550">
        <f>'Cumul annuel'!A23</f>
        <v/>
      </c>
      <c r="Q23" s="1373">
        <f>D23</f>
        <v/>
      </c>
      <c r="R23" s="1019" t="n">
        <v>0</v>
      </c>
      <c r="S23" s="1374">
        <f>Q23-R23</f>
        <v/>
      </c>
      <c r="T23" s="560">
        <f>Q23/R23-1</f>
        <v/>
      </c>
      <c r="U23" s="1373" t="n">
        <v>450000</v>
      </c>
      <c r="V23" s="1375">
        <f>Q23-U23</f>
        <v/>
      </c>
      <c r="W23" s="560">
        <f>(Q23/U23-1)</f>
        <v/>
      </c>
      <c r="X23" s="561" t="n"/>
    </row>
    <row r="24">
      <c r="A24" s="550">
        <f>'Cumul annuel'!A24</f>
        <v/>
      </c>
      <c r="B24" s="1321" t="n"/>
      <c r="C24" s="1366">
        <f>D24-B24</f>
        <v/>
      </c>
      <c r="D24" s="1367" t="n"/>
      <c r="E24" s="1368" t="n"/>
      <c r="F24" s="1369" t="n"/>
      <c r="G24" s="1370" t="n"/>
      <c r="H24" s="1370" t="n"/>
      <c r="I24" s="1369">
        <f>G24+H24</f>
        <v/>
      </c>
      <c r="J24" s="1369" t="n"/>
      <c r="K24" s="1369" t="n"/>
      <c r="L24" s="1369" t="n"/>
      <c r="M24" s="1369" t="n"/>
      <c r="N24" s="1371">
        <f>J24+I24+F24+E24+L24+M24+K24</f>
        <v/>
      </c>
      <c r="O24" s="1372">
        <f>N24+D24</f>
        <v/>
      </c>
      <c r="P24" s="550">
        <f>'Cumul annuel'!A24</f>
        <v/>
      </c>
      <c r="Q24" s="1373">
        <f>D24</f>
        <v/>
      </c>
      <c r="R24" s="1019" t="n">
        <v>0</v>
      </c>
      <c r="S24" s="1374">
        <f>Q24-R24</f>
        <v/>
      </c>
      <c r="T24" s="560">
        <f>Q24/R24-1</f>
        <v/>
      </c>
      <c r="U24" s="1373" t="n">
        <v>0</v>
      </c>
      <c r="V24" s="1376">
        <f>Q24-U24</f>
        <v/>
      </c>
      <c r="W24" s="560">
        <f>(Q24/U24-1)</f>
        <v/>
      </c>
      <c r="X24" s="561" t="n"/>
    </row>
    <row r="25">
      <c r="A25" s="550">
        <f>'Cumul annuel'!A25</f>
        <v/>
      </c>
      <c r="B25" s="1321" t="n"/>
      <c r="C25" s="1366">
        <f>D25-B25</f>
        <v/>
      </c>
      <c r="D25" s="1367" t="n"/>
      <c r="E25" s="1368" t="n"/>
      <c r="F25" s="1369" t="n"/>
      <c r="G25" s="1370" t="n"/>
      <c r="H25" s="1370" t="n"/>
      <c r="I25" s="1369">
        <f>G25+H25</f>
        <v/>
      </c>
      <c r="J25" s="1369" t="n"/>
      <c r="K25" s="1369" t="n"/>
      <c r="L25" s="1369" t="n"/>
      <c r="M25" s="1369" t="n"/>
      <c r="N25" s="1371">
        <f>J25+I25+F25+E25+L25+M25+K25</f>
        <v/>
      </c>
      <c r="O25" s="1372">
        <f>N25+D25</f>
        <v/>
      </c>
      <c r="P25" s="550">
        <f>'Cumul annuel'!A25</f>
        <v/>
      </c>
      <c r="Q25" s="1373">
        <f>D25</f>
        <v/>
      </c>
      <c r="R25" s="1019" t="n">
        <v>0</v>
      </c>
      <c r="S25" s="1374">
        <f>Q25-R25</f>
        <v/>
      </c>
      <c r="T25" s="560">
        <f>Q25/R25-1</f>
        <v/>
      </c>
      <c r="U25" s="1373" t="n">
        <v>0</v>
      </c>
      <c r="V25" s="1375">
        <f>Q25-U25</f>
        <v/>
      </c>
      <c r="W25" s="560">
        <f>(Q25/U25-1)</f>
        <v/>
      </c>
      <c r="X25" s="561" t="n"/>
    </row>
    <row r="26">
      <c r="A26" s="550">
        <f>'Cumul annuel'!A26</f>
        <v/>
      </c>
      <c r="B26" s="1321" t="n"/>
      <c r="C26" s="1366">
        <f>D26-B26</f>
        <v/>
      </c>
      <c r="D26" s="1367" t="n">
        <v>2361292</v>
      </c>
      <c r="E26" s="1368" t="n"/>
      <c r="F26" s="1369" t="n"/>
      <c r="G26" s="1370" t="n"/>
      <c r="H26" s="1370" t="n"/>
      <c r="I26" s="1369">
        <f>G26+H26</f>
        <v/>
      </c>
      <c r="J26" s="1369" t="n"/>
      <c r="K26" s="1369" t="n"/>
      <c r="L26" s="1369" t="n"/>
      <c r="M26" s="1369" t="n"/>
      <c r="N26" s="1371">
        <f>J26+I26+F26+E26+L26+M26+K26</f>
        <v/>
      </c>
      <c r="O26" s="1372">
        <f>N26+D26</f>
        <v/>
      </c>
      <c r="P26" s="550">
        <f>'Cumul annuel'!A26</f>
        <v/>
      </c>
      <c r="Q26" s="1373">
        <f>D26</f>
        <v/>
      </c>
      <c r="R26" s="1019" t="n">
        <v>833333.3333333334</v>
      </c>
      <c r="S26" s="1374">
        <f>Q26-R26</f>
        <v/>
      </c>
      <c r="T26" s="560">
        <f>Q26/R26-1</f>
        <v/>
      </c>
      <c r="U26" s="1373" t="n">
        <v>8000000</v>
      </c>
      <c r="V26" s="1370">
        <f>Q26-U26</f>
        <v/>
      </c>
      <c r="W26" s="560">
        <f>(Q26/U26-1)</f>
        <v/>
      </c>
      <c r="X26" s="561" t="n"/>
    </row>
    <row r="27">
      <c r="A27" s="550">
        <f>'Cumul annuel'!A27</f>
        <v/>
      </c>
      <c r="B27" s="1321" t="n"/>
      <c r="C27" s="1366">
        <f>D27-B27</f>
        <v/>
      </c>
      <c r="D27" s="1367" t="n"/>
      <c r="E27" s="1368" t="n"/>
      <c r="F27" s="1369" t="n"/>
      <c r="G27" s="1370" t="n"/>
      <c r="H27" s="1370" t="n"/>
      <c r="I27" s="1369">
        <f>G27+H27</f>
        <v/>
      </c>
      <c r="J27" s="1369" t="n"/>
      <c r="K27" s="1369" t="n"/>
      <c r="L27" s="1369" t="n"/>
      <c r="M27" s="1369" t="n"/>
      <c r="N27" s="1371">
        <f>J27+I27+F27+E27+L27+M27+K27</f>
        <v/>
      </c>
      <c r="O27" s="1372">
        <f>N27+D27</f>
        <v/>
      </c>
      <c r="P27" s="550">
        <f>'Cumul annuel'!A27</f>
        <v/>
      </c>
      <c r="Q27" s="1373">
        <f>D27</f>
        <v/>
      </c>
      <c r="R27" s="1019" t="n">
        <v>4166666.666666667</v>
      </c>
      <c r="S27" s="1374">
        <f>Q27-R27</f>
        <v/>
      </c>
      <c r="T27" s="560">
        <f>Q27/R27-1</f>
        <v/>
      </c>
      <c r="U27" s="1373" t="n">
        <v>0</v>
      </c>
      <c r="V27" s="1375">
        <f>Q27-U27</f>
        <v/>
      </c>
      <c r="W27" s="560">
        <f>(Q27/U27-1)</f>
        <v/>
      </c>
      <c r="X27" s="561" t="n"/>
    </row>
    <row r="28">
      <c r="A28" s="550">
        <f>'Cumul annuel'!A28</f>
        <v/>
      </c>
      <c r="B28" s="1321" t="n"/>
      <c r="C28" s="1366">
        <f>D28-B28</f>
        <v/>
      </c>
      <c r="D28" s="1367" t="n">
        <v>2240500</v>
      </c>
      <c r="E28" s="1368" t="n"/>
      <c r="F28" s="1369" t="n"/>
      <c r="G28" s="1370" t="n"/>
      <c r="H28" s="1370" t="n"/>
      <c r="I28" s="1369">
        <f>G28+H28</f>
        <v/>
      </c>
      <c r="J28" s="1369" t="n"/>
      <c r="K28" s="1369" t="n"/>
      <c r="L28" s="1369" t="n"/>
      <c r="M28" s="1369" t="n"/>
      <c r="N28" s="1371">
        <f>J28+I28+F28+E28+L28+M28+K28</f>
        <v/>
      </c>
      <c r="O28" s="1372">
        <f>N28+D28</f>
        <v/>
      </c>
      <c r="P28" s="550">
        <f>'Cumul annuel'!A28</f>
        <v/>
      </c>
      <c r="Q28" s="1373">
        <f>D28</f>
        <v/>
      </c>
      <c r="R28" s="1019" t="n">
        <v>5000000</v>
      </c>
      <c r="S28" s="1374">
        <f>Q28-R28</f>
        <v/>
      </c>
      <c r="T28" s="560">
        <f>Q28/R28-1</f>
        <v/>
      </c>
      <c r="U28" s="1373" t="n">
        <v>2130000</v>
      </c>
      <c r="V28" s="1376">
        <f>Q28-U28</f>
        <v/>
      </c>
      <c r="W28" s="560">
        <f>(Q28/U28-1)</f>
        <v/>
      </c>
      <c r="X28" s="561" t="n"/>
    </row>
    <row r="29">
      <c r="A29" s="550">
        <f>'Cumul annuel'!A29</f>
        <v/>
      </c>
      <c r="B29" s="1321" t="n"/>
      <c r="C29" s="1366">
        <f>D29-B29</f>
        <v/>
      </c>
      <c r="D29" s="1367" t="n">
        <v>15456200</v>
      </c>
      <c r="E29" s="1368" t="n"/>
      <c r="F29" s="1369" t="n"/>
      <c r="G29" s="1370" t="n"/>
      <c r="H29" s="1370" t="n"/>
      <c r="I29" s="1369">
        <f>G29+H29</f>
        <v/>
      </c>
      <c r="J29" s="1369" t="n"/>
      <c r="K29" s="1369" t="n"/>
      <c r="L29" s="1369" t="n"/>
      <c r="M29" s="1369" t="n"/>
      <c r="N29" s="1371">
        <f>J29+I29+F29+E29+L29+M29+K29</f>
        <v/>
      </c>
      <c r="O29" s="1372">
        <f>N29+D29</f>
        <v/>
      </c>
      <c r="P29" s="550">
        <f>'Cumul annuel'!A29</f>
        <v/>
      </c>
      <c r="Q29" s="1373">
        <f>D29</f>
        <v/>
      </c>
      <c r="R29" s="1019" t="n">
        <v>37500000</v>
      </c>
      <c r="S29" s="1374">
        <f>Q29-R29</f>
        <v/>
      </c>
      <c r="T29" s="560">
        <f>Q29/R29-1</f>
        <v/>
      </c>
      <c r="U29" s="1373" t="n">
        <v>25793038</v>
      </c>
      <c r="V29" s="1376">
        <f>Q29-U29</f>
        <v/>
      </c>
      <c r="W29" s="560">
        <f>(Q29/U29-1)</f>
        <v/>
      </c>
      <c r="X29" s="561" t="n"/>
    </row>
    <row r="30">
      <c r="A30" s="550">
        <f>'Cumul annuel'!A30</f>
        <v/>
      </c>
      <c r="B30" s="1321" t="n"/>
      <c r="C30" s="1366">
        <f>D30-B30</f>
        <v/>
      </c>
      <c r="D30" s="1367" t="n">
        <v>-137142</v>
      </c>
      <c r="E30" s="1368" t="n"/>
      <c r="F30" s="1369" t="n"/>
      <c r="G30" s="1370" t="n"/>
      <c r="H30" s="1370" t="n"/>
      <c r="I30" s="1369">
        <f>G30+H30</f>
        <v/>
      </c>
      <c r="J30" s="1369" t="n"/>
      <c r="K30" s="1369" t="n"/>
      <c r="L30" s="1369" t="n"/>
      <c r="M30" s="1369" t="n"/>
      <c r="N30" s="1371">
        <f>J30+I30+F30+E30+L30+M30+K30</f>
        <v/>
      </c>
      <c r="O30" s="1372">
        <f>N30+D30</f>
        <v/>
      </c>
      <c r="P30" s="550">
        <f>'Cumul annuel'!A30</f>
        <v/>
      </c>
      <c r="Q30" s="1373">
        <f>D30</f>
        <v/>
      </c>
      <c r="R30" s="1019" t="n">
        <v>0</v>
      </c>
      <c r="S30" s="1374">
        <f>Q30-R30</f>
        <v/>
      </c>
      <c r="T30" s="560">
        <f>Q30/R30-1</f>
        <v/>
      </c>
      <c r="U30" s="1373" t="n">
        <v>0</v>
      </c>
      <c r="V30" s="1376">
        <f>Q30-U30</f>
        <v/>
      </c>
      <c r="W30" s="560">
        <f>(Q30/U30-1)</f>
        <v/>
      </c>
      <c r="X30" s="561" t="n"/>
    </row>
    <row r="31">
      <c r="A31" s="550">
        <f>'Cumul annuel'!A31</f>
        <v/>
      </c>
      <c r="B31" s="1321" t="n"/>
      <c r="C31" s="1366">
        <f>D31-B31</f>
        <v/>
      </c>
      <c r="D31" s="1367" t="n"/>
      <c r="E31" s="1368" t="n"/>
      <c r="F31" s="1369" t="n"/>
      <c r="G31" s="1370" t="n"/>
      <c r="H31" s="1370" t="n"/>
      <c r="I31" s="1369">
        <f>G31+H31</f>
        <v/>
      </c>
      <c r="J31" s="1369" t="n"/>
      <c r="K31" s="1369" t="n"/>
      <c r="L31" s="1369" t="n"/>
      <c r="M31" s="1369" t="n"/>
      <c r="N31" s="1371">
        <f>J31+I31+F31+E31+L31+M31+K31</f>
        <v/>
      </c>
      <c r="O31" s="1372">
        <f>N31+D31</f>
        <v/>
      </c>
      <c r="P31" s="550">
        <f>'Cumul annuel'!A31</f>
        <v/>
      </c>
      <c r="Q31" s="1373">
        <f>D31</f>
        <v/>
      </c>
      <c r="R31" s="1019" t="n">
        <v>0</v>
      </c>
      <c r="S31" s="1374">
        <f>Q31-R31</f>
        <v/>
      </c>
      <c r="T31" s="560">
        <f>Q31/R31-1</f>
        <v/>
      </c>
      <c r="U31" s="1373" t="n">
        <v>14343663</v>
      </c>
      <c r="V31" s="1376">
        <f>Q31-U31</f>
        <v/>
      </c>
      <c r="W31" s="560">
        <f>(Q31/U31-1)</f>
        <v/>
      </c>
      <c r="X31" s="561" t="n"/>
    </row>
    <row r="32">
      <c r="A32" s="550">
        <f>'Cumul annuel'!A32</f>
        <v/>
      </c>
      <c r="B32" s="1321" t="n"/>
      <c r="C32" s="1366">
        <f>D32-B32</f>
        <v/>
      </c>
      <c r="D32" s="1367" t="n"/>
      <c r="E32" s="1368" t="n"/>
      <c r="F32" s="1369" t="n"/>
      <c r="G32" s="1370" t="n"/>
      <c r="H32" s="1370" t="n"/>
      <c r="I32" s="1369">
        <f>G32+H32</f>
        <v/>
      </c>
      <c r="J32" s="1369" t="n"/>
      <c r="K32" s="1369" t="n"/>
      <c r="L32" s="1369" t="n"/>
      <c r="M32" s="1369" t="n"/>
      <c r="N32" s="1371">
        <f>J32+I32+F32+E32+L32+M32+K32</f>
        <v/>
      </c>
      <c r="O32" s="1372">
        <f>N32+D32</f>
        <v/>
      </c>
      <c r="P32" s="550">
        <f>'Cumul annuel'!A32</f>
        <v/>
      </c>
      <c r="Q32" s="1373">
        <f>D32</f>
        <v/>
      </c>
      <c r="R32" s="1019" t="n">
        <v>0</v>
      </c>
      <c r="S32" s="1374">
        <f>Q32-R32</f>
        <v/>
      </c>
      <c r="T32" s="560">
        <f>Q32/R32-1</f>
        <v/>
      </c>
      <c r="U32" s="1373" t="n">
        <v>0</v>
      </c>
      <c r="V32" s="1370">
        <f>Q32-U32</f>
        <v/>
      </c>
      <c r="W32" s="560">
        <f>(Q32/U32-1)</f>
        <v/>
      </c>
      <c r="X32" s="561" t="n"/>
    </row>
    <row r="33">
      <c r="A33" s="550">
        <f>'Cumul annuel'!A33</f>
        <v/>
      </c>
      <c r="B33" s="1321" t="n"/>
      <c r="C33" s="1366">
        <f>D33-B33</f>
        <v/>
      </c>
      <c r="D33" s="1367" t="n"/>
      <c r="E33" s="1368" t="n"/>
      <c r="F33" s="1369" t="n"/>
      <c r="G33" s="1370" t="n"/>
      <c r="H33" s="1370" t="n"/>
      <c r="I33" s="1369">
        <f>G33+H33</f>
        <v/>
      </c>
      <c r="J33" s="1369" t="n"/>
      <c r="K33" s="1369" t="n"/>
      <c r="L33" s="1369" t="n"/>
      <c r="M33" s="1369" t="n"/>
      <c r="N33" s="1371">
        <f>J33+I33+F33+E33+L33+M33+K33</f>
        <v/>
      </c>
      <c r="O33" s="1372">
        <f>N33+D33</f>
        <v/>
      </c>
      <c r="P33" s="550">
        <f>'Cumul annuel'!A33</f>
        <v/>
      </c>
      <c r="Q33" s="1373">
        <f>D33</f>
        <v/>
      </c>
      <c r="R33" s="1019" t="n">
        <v>0</v>
      </c>
      <c r="S33" s="1374">
        <f>Q33-R33</f>
        <v/>
      </c>
      <c r="T33" s="560">
        <f>Q33/R33-1</f>
        <v/>
      </c>
      <c r="U33" s="1373" t="n">
        <v>0</v>
      </c>
      <c r="V33" s="1370">
        <f>Q33-U33</f>
        <v/>
      </c>
      <c r="W33" s="560">
        <f>(Q33/U33-1)</f>
        <v/>
      </c>
      <c r="X33" s="561" t="n"/>
    </row>
    <row r="34">
      <c r="A34" s="550">
        <f>'Cumul annuel'!A34</f>
        <v/>
      </c>
      <c r="B34" s="1321" t="n"/>
      <c r="C34" s="1366">
        <f>D34-B34</f>
        <v/>
      </c>
      <c r="D34" s="1367" t="n"/>
      <c r="E34" s="1368" t="n"/>
      <c r="F34" s="1369" t="n"/>
      <c r="G34" s="1370" t="n"/>
      <c r="H34" s="1370" t="n"/>
      <c r="I34" s="1369">
        <f>G34+H34</f>
        <v/>
      </c>
      <c r="J34" s="1369" t="n"/>
      <c r="K34" s="1369" t="n"/>
      <c r="L34" s="1369" t="n"/>
      <c r="M34" s="1369" t="n"/>
      <c r="N34" s="1371">
        <f>J34+I34+F34+E34+L34+M34+K34</f>
        <v/>
      </c>
      <c r="O34" s="1372">
        <f>N34+D34</f>
        <v/>
      </c>
      <c r="P34" s="550">
        <f>'Cumul annuel'!A34</f>
        <v/>
      </c>
      <c r="Q34" s="1373">
        <f>D34</f>
        <v/>
      </c>
      <c r="R34" s="1019" t="n">
        <v>0</v>
      </c>
      <c r="S34" s="1374">
        <f>Q34-R34</f>
        <v/>
      </c>
      <c r="T34" s="560">
        <f>Q34/R34-1</f>
        <v/>
      </c>
      <c r="U34" s="1373" t="n">
        <v>0</v>
      </c>
      <c r="V34" s="1376">
        <f>Q34-U34</f>
        <v/>
      </c>
      <c r="W34" s="560">
        <f>(Q34/U34-1)</f>
        <v/>
      </c>
      <c r="X34" s="561" t="n"/>
    </row>
    <row r="35">
      <c r="A35" s="550">
        <f>'Cumul annuel'!A35</f>
        <v/>
      </c>
      <c r="B35" s="1321" t="n"/>
      <c r="C35" s="1366">
        <f>D35-B35</f>
        <v/>
      </c>
      <c r="D35" s="1367" t="n"/>
      <c r="E35" s="1368" t="n"/>
      <c r="F35" s="1369" t="n"/>
      <c r="G35" s="1370" t="n"/>
      <c r="H35" s="1370" t="n">
        <v>282860</v>
      </c>
      <c r="I35" s="1369">
        <f>G35+H35</f>
        <v/>
      </c>
      <c r="J35" s="1369" t="n"/>
      <c r="K35" s="1369" t="n"/>
      <c r="L35" s="1369" t="n"/>
      <c r="M35" s="1369" t="n"/>
      <c r="N35" s="1371">
        <f>J35+I35+F35+E35+L35+M35+K35</f>
        <v/>
      </c>
      <c r="O35" s="1372">
        <f>N35+D35</f>
        <v/>
      </c>
      <c r="P35" s="550">
        <f>'Cumul annuel'!A35</f>
        <v/>
      </c>
      <c r="Q35" s="1373">
        <f>D35</f>
        <v/>
      </c>
      <c r="R35" s="1019" t="n">
        <v>66666.66666666667</v>
      </c>
      <c r="S35" s="1374">
        <f>Q35-R35</f>
        <v/>
      </c>
      <c r="T35" s="560">
        <f>Q35/R35-1</f>
        <v/>
      </c>
      <c r="U35" s="1373" t="n">
        <v>0</v>
      </c>
      <c r="V35" s="1376">
        <f>Q35-U35</f>
        <v/>
      </c>
      <c r="W35" s="560">
        <f>(Q35/U35-1)</f>
        <v/>
      </c>
      <c r="X35" s="561" t="n"/>
    </row>
    <row r="36">
      <c r="A36" s="550">
        <f>'Cumul annuel'!A36</f>
        <v/>
      </c>
      <c r="B36" s="1321" t="n"/>
      <c r="C36" s="1366">
        <f>D36-B36</f>
        <v/>
      </c>
      <c r="D36" s="1367" t="n"/>
      <c r="E36" s="1368" t="n"/>
      <c r="F36" s="1369" t="n"/>
      <c r="G36" s="1370" t="n"/>
      <c r="H36" s="1370" t="n"/>
      <c r="I36" s="1369">
        <f>G36+H36</f>
        <v/>
      </c>
      <c r="J36" s="1369" t="n"/>
      <c r="K36" s="1369" t="n"/>
      <c r="L36" s="1369" t="n"/>
      <c r="M36" s="1369" t="n"/>
      <c r="N36" s="1371">
        <f>J36+I36+F36+E36+L36+M36+K36</f>
        <v/>
      </c>
      <c r="O36" s="1372">
        <f>N36+D36</f>
        <v/>
      </c>
      <c r="P36" s="550">
        <f>'Cumul annuel'!A36</f>
        <v/>
      </c>
      <c r="Q36" s="1373">
        <f>D36</f>
        <v/>
      </c>
      <c r="R36" s="1019" t="n">
        <v>0</v>
      </c>
      <c r="S36" s="1374">
        <f>Q36-R36</f>
        <v/>
      </c>
      <c r="T36" s="560">
        <f>Q36/R36-1</f>
        <v/>
      </c>
      <c r="U36" s="1373" t="n">
        <v>0</v>
      </c>
      <c r="V36" s="1370">
        <f>Q36-U36</f>
        <v/>
      </c>
      <c r="W36" s="560">
        <f>(Q36/U36-1)</f>
        <v/>
      </c>
      <c r="X36" s="561" t="n"/>
    </row>
    <row r="37">
      <c r="A37" s="550">
        <f>'Cumul annuel'!A37</f>
        <v/>
      </c>
      <c r="B37" s="1321" t="n"/>
      <c r="C37" s="1366">
        <f>D37-B37</f>
        <v/>
      </c>
      <c r="D37" s="1367" t="n"/>
      <c r="E37" s="1368" t="n"/>
      <c r="F37" s="1369" t="n"/>
      <c r="G37" s="1370" t="n"/>
      <c r="H37" s="1370" t="n"/>
      <c r="I37" s="1369">
        <f>G37+H37</f>
        <v/>
      </c>
      <c r="J37" s="1369" t="n"/>
      <c r="K37" s="1369" t="n"/>
      <c r="L37" s="1369" t="n"/>
      <c r="M37" s="1369" t="n"/>
      <c r="N37" s="1371">
        <f>J37+I37+F37+E37+L37+M37+K37</f>
        <v/>
      </c>
      <c r="O37" s="1372">
        <f>N37+D37</f>
        <v/>
      </c>
      <c r="P37" s="550">
        <f>'Cumul annuel'!A37</f>
        <v/>
      </c>
      <c r="Q37" s="1373">
        <f>D37</f>
        <v/>
      </c>
      <c r="R37" s="1019" t="n">
        <v>833333.3333333334</v>
      </c>
      <c r="S37" s="1374">
        <f>Q37-R37</f>
        <v/>
      </c>
      <c r="T37" s="560">
        <f>Q37/R37-1</f>
        <v/>
      </c>
      <c r="U37" s="1373" t="n">
        <v>14535000</v>
      </c>
      <c r="V37" s="1376">
        <f>Q37-U37</f>
        <v/>
      </c>
      <c r="W37" s="560">
        <f>(Q37/U37-1)</f>
        <v/>
      </c>
      <c r="X37" s="561" t="n"/>
    </row>
    <row r="38">
      <c r="A38" s="550">
        <f>'Cumul annuel'!A38</f>
        <v/>
      </c>
      <c r="B38" s="1321" t="n">
        <v>20000000</v>
      </c>
      <c r="C38" s="1366">
        <f>D38-B38</f>
        <v/>
      </c>
      <c r="D38" s="1367" t="n">
        <v>182096640</v>
      </c>
      <c r="E38" s="1368" t="n"/>
      <c r="F38" s="1369" t="n"/>
      <c r="G38" s="1370" t="n"/>
      <c r="H38" s="1370" t="n"/>
      <c r="I38" s="1369">
        <f>G38+H38</f>
        <v/>
      </c>
      <c r="J38" s="1369" t="n"/>
      <c r="K38" s="1369" t="n">
        <v>6200000</v>
      </c>
      <c r="L38" s="1369" t="n"/>
      <c r="M38" s="1369" t="n"/>
      <c r="N38" s="1371">
        <f>J38+I38+F38+E38+L38+M38+K38</f>
        <v/>
      </c>
      <c r="O38" s="1372">
        <f>N38+D38</f>
        <v/>
      </c>
      <c r="P38" s="550">
        <f>'Cumul annuel'!A38</f>
        <v/>
      </c>
      <c r="Q38" s="1373">
        <f>D38</f>
        <v/>
      </c>
      <c r="R38" s="1019" t="n">
        <v>55833333.33333334</v>
      </c>
      <c r="S38" s="1374">
        <f>Q38-R38</f>
        <v/>
      </c>
      <c r="T38" s="560">
        <f>Q38/R38-1</f>
        <v/>
      </c>
      <c r="U38" s="1373" t="n">
        <v>17705390</v>
      </c>
      <c r="V38" s="1376">
        <f>Q38-U38</f>
        <v/>
      </c>
      <c r="W38" s="560">
        <f>(Q38/U38-1)</f>
        <v/>
      </c>
      <c r="X38" s="561" t="n"/>
    </row>
    <row r="39" customFormat="1" s="564">
      <c r="A39" s="550">
        <f>'Cumul annuel'!A39</f>
        <v/>
      </c>
      <c r="B39" s="1321" t="n"/>
      <c r="C39" s="1366">
        <f>D39-B39</f>
        <v/>
      </c>
      <c r="D39" s="1367" t="n"/>
      <c r="E39" s="1368" t="n"/>
      <c r="F39" s="1369" t="n"/>
      <c r="G39" s="1370" t="n"/>
      <c r="H39" s="1370" t="n"/>
      <c r="I39" s="1369">
        <f>G39+H39</f>
        <v/>
      </c>
      <c r="J39" s="1369" t="n"/>
      <c r="K39" s="1369" t="n"/>
      <c r="L39" s="1369" t="n"/>
      <c r="M39" s="1369" t="n"/>
      <c r="N39" s="1371">
        <f>J39+I39+F39+E39+L39+M39+K39</f>
        <v/>
      </c>
      <c r="O39" s="1372">
        <f>N39+D39</f>
        <v/>
      </c>
      <c r="P39" s="550">
        <f>'Cumul annuel'!A39</f>
        <v/>
      </c>
      <c r="Q39" s="1373">
        <f>D39</f>
        <v/>
      </c>
      <c r="R39" s="1019" t="n">
        <v>200000</v>
      </c>
      <c r="S39" s="1374">
        <f>Q39-R39</f>
        <v/>
      </c>
      <c r="T39" s="560">
        <f>Q39/R39-1</f>
        <v/>
      </c>
      <c r="U39" s="1373" t="n">
        <v>0</v>
      </c>
      <c r="V39" s="1376">
        <f>Q39-U39</f>
        <v/>
      </c>
      <c r="W39" s="560">
        <f>(Q39/U39-1)</f>
        <v/>
      </c>
      <c r="X39" s="561" t="n"/>
    </row>
    <row r="40">
      <c r="A40" s="550">
        <f>'Cumul annuel'!A40</f>
        <v/>
      </c>
      <c r="B40" s="1321" t="n"/>
      <c r="C40" s="1366">
        <f>D40-B40</f>
        <v/>
      </c>
      <c r="D40" s="1367" t="n"/>
      <c r="E40" s="1368" t="n"/>
      <c r="F40" s="1369" t="n"/>
      <c r="G40" s="1370" t="n"/>
      <c r="H40" s="1370" t="n"/>
      <c r="I40" s="1369">
        <f>G40+H40</f>
        <v/>
      </c>
      <c r="J40" s="1369" t="n"/>
      <c r="K40" s="1369" t="n"/>
      <c r="L40" s="1369" t="n"/>
      <c r="M40" s="1369" t="n"/>
      <c r="N40" s="1371">
        <f>J40+I40+F40+E40+L40+M40+K40</f>
        <v/>
      </c>
      <c r="O40" s="1372">
        <f>N40+D40</f>
        <v/>
      </c>
      <c r="P40" s="550">
        <f>'Cumul annuel'!A40</f>
        <v/>
      </c>
      <c r="Q40" s="1373">
        <f>D40</f>
        <v/>
      </c>
      <c r="R40" s="1019" t="n">
        <v>0</v>
      </c>
      <c r="S40" s="1374">
        <f>Q40-R40</f>
        <v/>
      </c>
      <c r="T40" s="560">
        <f>Q40/R40-1</f>
        <v/>
      </c>
      <c r="U40" s="1373" t="n">
        <v>0</v>
      </c>
      <c r="V40" s="1375">
        <f>Q40-U40</f>
        <v/>
      </c>
      <c r="W40" s="560">
        <f>(Q40/U40-1)</f>
        <v/>
      </c>
      <c r="X40" s="561" t="n"/>
    </row>
    <row r="41">
      <c r="A41" s="550">
        <f>'Cumul annuel'!A41</f>
        <v/>
      </c>
      <c r="B41" s="1321" t="n"/>
      <c r="C41" s="1366">
        <f>D41-B41</f>
        <v/>
      </c>
      <c r="D41" s="1367" t="n"/>
      <c r="E41" s="1368" t="n"/>
      <c r="F41" s="1369" t="n"/>
      <c r="G41" s="1370" t="n"/>
      <c r="H41" s="1370" t="n"/>
      <c r="I41" s="1369">
        <f>G41+H41</f>
        <v/>
      </c>
      <c r="J41" s="1369" t="n"/>
      <c r="K41" s="1369" t="n"/>
      <c r="L41" s="1369" t="n"/>
      <c r="M41" s="1369" t="n"/>
      <c r="N41" s="1371">
        <f>J41+I41+F41+E41+L41+M41+K41</f>
        <v/>
      </c>
      <c r="O41" s="1372">
        <f>N41+D41</f>
        <v/>
      </c>
      <c r="P41" s="550">
        <f>'Cumul annuel'!A41</f>
        <v/>
      </c>
      <c r="Q41" s="1373">
        <f>D41</f>
        <v/>
      </c>
      <c r="R41" s="1019" t="n">
        <v>0</v>
      </c>
      <c r="S41" s="1374">
        <f>Q41-R41</f>
        <v/>
      </c>
      <c r="T41" s="560">
        <f>Q41/R41-1</f>
        <v/>
      </c>
      <c r="U41" s="1373" t="n">
        <v>0</v>
      </c>
      <c r="V41" s="1375">
        <f>Q41-U41</f>
        <v/>
      </c>
      <c r="W41" s="560">
        <f>(Q41/U41-1)</f>
        <v/>
      </c>
      <c r="X41" s="561" t="n"/>
    </row>
    <row r="42">
      <c r="A42" s="550">
        <f>'Cumul annuel'!A42</f>
        <v/>
      </c>
      <c r="B42" s="1321" t="n">
        <v>763750</v>
      </c>
      <c r="C42" s="1366">
        <f>D42-B42</f>
        <v/>
      </c>
      <c r="D42" s="1367" t="n">
        <v>763750</v>
      </c>
      <c r="E42" s="1368" t="n"/>
      <c r="F42" s="1369" t="n"/>
      <c r="G42" s="1370" t="n"/>
      <c r="H42" s="1370" t="n"/>
      <c r="I42" s="1369">
        <f>G42+H42</f>
        <v/>
      </c>
      <c r="J42" s="1369" t="n"/>
      <c r="K42" s="1369" t="n"/>
      <c r="L42" s="1369" t="n"/>
      <c r="M42" s="1369" t="n"/>
      <c r="N42" s="1371">
        <f>J42+I42+F42+E42+L42+M42+K42</f>
        <v/>
      </c>
      <c r="O42" s="1372">
        <f>N42+D42</f>
        <v/>
      </c>
      <c r="P42" s="550">
        <f>'Cumul annuel'!A42</f>
        <v/>
      </c>
      <c r="Q42" s="1373">
        <f>D42</f>
        <v/>
      </c>
      <c r="R42" s="1019" t="n">
        <v>1000000</v>
      </c>
      <c r="S42" s="1374">
        <f>Q42-R42</f>
        <v/>
      </c>
      <c r="T42" s="560">
        <f>Q42/R42-1</f>
        <v/>
      </c>
      <c r="U42" s="1373" t="n">
        <v>763750</v>
      </c>
      <c r="V42" s="1375">
        <f>Q42-U42</f>
        <v/>
      </c>
      <c r="W42" s="560">
        <f>(Q42/U42-1)</f>
        <v/>
      </c>
      <c r="X42" s="561" t="n"/>
    </row>
    <row r="43">
      <c r="A43" s="550">
        <f>'Cumul annuel'!A43</f>
        <v/>
      </c>
      <c r="B43" s="1321" t="n"/>
      <c r="C43" s="1366">
        <f>D43-B43</f>
        <v/>
      </c>
      <c r="D43" s="1367" t="n"/>
      <c r="E43" s="1368" t="n"/>
      <c r="F43" s="1369" t="n"/>
      <c r="G43" s="1370" t="n"/>
      <c r="H43" s="1370" t="n"/>
      <c r="I43" s="1369">
        <f>G43+H43</f>
        <v/>
      </c>
      <c r="J43" s="1369" t="n"/>
      <c r="K43" s="1369" t="n"/>
      <c r="L43" s="1369" t="n"/>
      <c r="M43" s="1369" t="n"/>
      <c r="N43" s="1371">
        <f>J43+I43+F43+E43+L43+M43+K43</f>
        <v/>
      </c>
      <c r="O43" s="1372">
        <f>N43+D43</f>
        <v/>
      </c>
      <c r="P43" s="550">
        <f>'Cumul annuel'!A43</f>
        <v/>
      </c>
      <c r="Q43" s="1373">
        <f>D43</f>
        <v/>
      </c>
      <c r="R43" s="1019" t="n">
        <v>0</v>
      </c>
      <c r="S43" s="1374">
        <f>Q43-R43</f>
        <v/>
      </c>
      <c r="T43" s="560">
        <f>Q43/R43-1</f>
        <v/>
      </c>
      <c r="U43" s="1373" t="n">
        <v>0</v>
      </c>
      <c r="V43" s="1375">
        <f>Q43-U43</f>
        <v/>
      </c>
      <c r="W43" s="560">
        <f>(Q43/U43-1)</f>
        <v/>
      </c>
      <c r="X43" s="561" t="n"/>
    </row>
    <row r="44" customFormat="1" s="564">
      <c r="A44" s="550">
        <f>'Cumul annuel'!A44</f>
        <v/>
      </c>
      <c r="B44" s="1321" t="n"/>
      <c r="C44" s="1366">
        <f>D44-B44</f>
        <v/>
      </c>
      <c r="D44" s="1367" t="n"/>
      <c r="E44" s="1368" t="n"/>
      <c r="F44" s="1369" t="n"/>
      <c r="G44" s="1370" t="n"/>
      <c r="H44" s="1370" t="n"/>
      <c r="I44" s="1369">
        <f>G44+H44</f>
        <v/>
      </c>
      <c r="J44" s="1369" t="n"/>
      <c r="K44" s="1369" t="n"/>
      <c r="L44" s="1369" t="n">
        <v>8757420</v>
      </c>
      <c r="M44" s="1369" t="n"/>
      <c r="N44" s="1371">
        <f>J44+I44+F44+E44+L44+M44+K44</f>
        <v/>
      </c>
      <c r="O44" s="1372">
        <f>N44+D44</f>
        <v/>
      </c>
      <c r="P44" s="550">
        <f>'Cumul annuel'!A44</f>
        <v/>
      </c>
      <c r="Q44" s="1373">
        <f>D44</f>
        <v/>
      </c>
      <c r="R44" s="1019" t="n">
        <v>0</v>
      </c>
      <c r="S44" s="1374">
        <f>Q44-R44</f>
        <v/>
      </c>
      <c r="T44" s="560">
        <f>Q44/R44-1</f>
        <v/>
      </c>
      <c r="U44" s="1373" t="n">
        <v>0</v>
      </c>
      <c r="V44" s="1376">
        <f>Q44-U44</f>
        <v/>
      </c>
      <c r="W44" s="560">
        <f>(Q44/U44-1)</f>
        <v/>
      </c>
      <c r="X44" s="561" t="n"/>
    </row>
    <row r="45">
      <c r="A45" s="550">
        <f>'Cumul annuel'!A45</f>
        <v/>
      </c>
      <c r="B45" s="1321" t="n"/>
      <c r="C45" s="1366">
        <f>D45-B45</f>
        <v/>
      </c>
      <c r="D45" s="1367" t="n">
        <v>57612190</v>
      </c>
      <c r="E45" s="1368" t="n"/>
      <c r="F45" s="1369" t="n"/>
      <c r="G45" s="1370" t="n"/>
      <c r="H45" s="1370" t="n"/>
      <c r="I45" s="1369">
        <f>G45+H45</f>
        <v/>
      </c>
      <c r="J45" s="1369" t="n"/>
      <c r="K45" s="1369" t="n"/>
      <c r="L45" s="1369" t="n"/>
      <c r="M45" s="1369" t="n"/>
      <c r="N45" s="1371">
        <f>J45+I45+F45+E45+L45+M45+K45</f>
        <v/>
      </c>
      <c r="O45" s="1372">
        <f>N45+D45</f>
        <v/>
      </c>
      <c r="P45" s="550">
        <f>'Cumul annuel'!A45</f>
        <v/>
      </c>
      <c r="Q45" s="1373">
        <f>D45</f>
        <v/>
      </c>
      <c r="R45" s="1019" t="n">
        <v>47222222.22222222</v>
      </c>
      <c r="S45" s="1374">
        <f>Q45-R45</f>
        <v/>
      </c>
      <c r="T45" s="560">
        <f>Q45/R45-1</f>
        <v/>
      </c>
      <c r="U45" s="1373" t="n">
        <v>43465797</v>
      </c>
      <c r="V45" s="1375">
        <f>Q45-U45</f>
        <v/>
      </c>
      <c r="W45" s="560">
        <f>(Q45/U45-1)</f>
        <v/>
      </c>
      <c r="X45" s="561" t="n"/>
    </row>
    <row r="46">
      <c r="A46" s="550">
        <f>'Cumul annuel'!A46</f>
        <v/>
      </c>
      <c r="B46" s="1321" t="n"/>
      <c r="C46" s="1366">
        <f>D46-B46</f>
        <v/>
      </c>
      <c r="D46" s="1367" t="n"/>
      <c r="E46" s="1368" t="n"/>
      <c r="F46" s="1369" t="n"/>
      <c r="G46" s="1370" t="n"/>
      <c r="H46" s="1370" t="n"/>
      <c r="I46" s="1369">
        <f>G46+H46</f>
        <v/>
      </c>
      <c r="J46" s="1369" t="n"/>
      <c r="K46" s="1369" t="n"/>
      <c r="L46" s="1369" t="n"/>
      <c r="M46" s="1369" t="n"/>
      <c r="N46" s="1371">
        <f>J46+I46+F46+E46+L46+M46+K46</f>
        <v/>
      </c>
      <c r="O46" s="1372">
        <f>N46+D46</f>
        <v/>
      </c>
      <c r="P46" s="550">
        <f>'Cumul annuel'!A46</f>
        <v/>
      </c>
      <c r="Q46" s="1373">
        <f>D46</f>
        <v/>
      </c>
      <c r="R46" s="1019" t="n">
        <v>0</v>
      </c>
      <c r="S46" s="1374">
        <f>Q46-R46</f>
        <v/>
      </c>
      <c r="T46" s="560">
        <f>Q46/R46-1</f>
        <v/>
      </c>
      <c r="U46" s="1373" t="n">
        <v>0</v>
      </c>
      <c r="V46" s="1375">
        <f>Q46-U46</f>
        <v/>
      </c>
      <c r="W46" s="560">
        <f>(Q46/U46-1)</f>
        <v/>
      </c>
      <c r="X46" s="561" t="n"/>
    </row>
    <row r="47">
      <c r="A47" s="550">
        <f>'Cumul annuel'!A47</f>
        <v/>
      </c>
      <c r="B47" s="1321" t="n">
        <v>18000000</v>
      </c>
      <c r="C47" s="1366">
        <f>D47-B47</f>
        <v/>
      </c>
      <c r="D47" s="1367" t="n">
        <v>18000000</v>
      </c>
      <c r="E47" s="1368" t="n"/>
      <c r="F47" s="1369" t="n"/>
      <c r="G47" s="1370" t="n"/>
      <c r="H47" s="1370" t="n"/>
      <c r="I47" s="1369">
        <f>G47+H47</f>
        <v/>
      </c>
      <c r="J47" s="1369" t="n"/>
      <c r="K47" s="1369" t="n"/>
      <c r="L47" s="1369" t="n"/>
      <c r="M47" s="1369" t="n"/>
      <c r="N47" s="1371">
        <f>J47+I47+F47+E47+L47+M47+K47</f>
        <v/>
      </c>
      <c r="O47" s="1372">
        <f>N47+D47</f>
        <v/>
      </c>
      <c r="P47" s="550">
        <f>'Cumul annuel'!A47</f>
        <v/>
      </c>
      <c r="Q47" s="1373">
        <f>D47</f>
        <v/>
      </c>
      <c r="R47" s="1019" t="n">
        <v>17916666.66666667</v>
      </c>
      <c r="S47" s="1374">
        <f>Q47-R47</f>
        <v/>
      </c>
      <c r="T47" s="560">
        <f>Q47/R47-1</f>
        <v/>
      </c>
      <c r="U47" s="1373" t="n">
        <v>3024400</v>
      </c>
      <c r="V47" s="1370">
        <f>Q47-U47</f>
        <v/>
      </c>
      <c r="W47" s="560">
        <f>(Q47/U47-1)</f>
        <v/>
      </c>
      <c r="X47" s="561" t="n"/>
    </row>
    <row r="48">
      <c r="A48" s="550">
        <f>'Cumul annuel'!A48</f>
        <v/>
      </c>
      <c r="B48" s="1321" t="n"/>
      <c r="C48" s="1366">
        <f>D48-B48</f>
        <v/>
      </c>
      <c r="D48" s="1367" t="n"/>
      <c r="E48" s="1368" t="n"/>
      <c r="F48" s="1369" t="n"/>
      <c r="G48" s="1370" t="n"/>
      <c r="H48" s="1370" t="n"/>
      <c r="I48" s="1369">
        <f>G48+H48</f>
        <v/>
      </c>
      <c r="J48" s="1369" t="n"/>
      <c r="K48" s="1369" t="n"/>
      <c r="L48" s="1369" t="n"/>
      <c r="M48" s="1369" t="n"/>
      <c r="N48" s="1371">
        <f>J48+I48+F48+E48+L48+M48+K48</f>
        <v/>
      </c>
      <c r="O48" s="1372">
        <f>N48+D48</f>
        <v/>
      </c>
      <c r="P48" s="550">
        <f>'Cumul annuel'!A48</f>
        <v/>
      </c>
      <c r="Q48" s="1373">
        <f>D48</f>
        <v/>
      </c>
      <c r="R48" s="1019" t="n">
        <v>400000</v>
      </c>
      <c r="S48" s="1374">
        <f>Q48-R48</f>
        <v/>
      </c>
      <c r="T48" s="560">
        <f>Q48/R48-1</f>
        <v/>
      </c>
      <c r="U48" s="1373" t="n">
        <v>0</v>
      </c>
      <c r="V48" s="1370">
        <f>Q48-U48</f>
        <v/>
      </c>
      <c r="W48" s="560">
        <f>(Q48/U48-1)</f>
        <v/>
      </c>
      <c r="X48" s="561" t="n"/>
    </row>
    <row r="49">
      <c r="A49" s="550">
        <f>'Cumul annuel'!A49</f>
        <v/>
      </c>
      <c r="B49" s="1321" t="n">
        <v>43912500</v>
      </c>
      <c r="C49" s="1366">
        <f>D49-B49</f>
        <v/>
      </c>
      <c r="D49" s="1367" t="n">
        <v>385671429</v>
      </c>
      <c r="E49" s="1368" t="n"/>
      <c r="F49" s="1369" t="n"/>
      <c r="G49" s="1370" t="n"/>
      <c r="H49" s="1370" t="n"/>
      <c r="I49" s="1369">
        <f>G49+H49</f>
        <v/>
      </c>
      <c r="J49" s="1369" t="n"/>
      <c r="K49" s="1369" t="n">
        <v>82000000</v>
      </c>
      <c r="L49" s="1369" t="n">
        <v>5115866</v>
      </c>
      <c r="M49" s="1369" t="n"/>
      <c r="N49" s="1371">
        <f>J49+I49+F49+E49+L49+M49+K49</f>
        <v/>
      </c>
      <c r="O49" s="1372">
        <f>N49+D49</f>
        <v/>
      </c>
      <c r="P49" s="550">
        <f>'Cumul annuel'!A49</f>
        <v/>
      </c>
      <c r="Q49" s="1373">
        <f>D49</f>
        <v/>
      </c>
      <c r="R49" s="1019" t="n">
        <v>191333333.3333333</v>
      </c>
      <c r="S49" s="1374">
        <f>Q49-R49</f>
        <v/>
      </c>
      <c r="T49" s="560">
        <f>Q49/R49-1</f>
        <v/>
      </c>
      <c r="U49" s="1373" t="n">
        <v>0</v>
      </c>
      <c r="V49" s="1376">
        <f>Q49-U49</f>
        <v/>
      </c>
      <c r="W49" s="560">
        <f>(Q49/U49-1)</f>
        <v/>
      </c>
      <c r="X49" s="561" t="n"/>
    </row>
    <row r="50" ht="15" customHeight="1" thickBot="1">
      <c r="A50" s="550">
        <f>'Cumul annuel'!A50</f>
        <v/>
      </c>
      <c r="B50" s="1323" t="n">
        <v>3673359</v>
      </c>
      <c r="C50" s="1366">
        <f>D50-B50</f>
        <v/>
      </c>
      <c r="D50" s="1377" t="n">
        <v>6931259</v>
      </c>
      <c r="E50" s="1378" t="n"/>
      <c r="F50" s="1379" t="n"/>
      <c r="G50" s="1380" t="n"/>
      <c r="H50" s="1380" t="n"/>
      <c r="I50" s="1369">
        <f>G50+H50</f>
        <v/>
      </c>
      <c r="J50" s="1379" t="n"/>
      <c r="K50" s="1379" t="n"/>
      <c r="L50" s="1379" t="n"/>
      <c r="M50" s="1379" t="n"/>
      <c r="N50" s="1371">
        <f>J50+I50+F50+E50+L50+M50+K50</f>
        <v/>
      </c>
      <c r="O50" s="1381">
        <f>N50+D50</f>
        <v/>
      </c>
      <c r="P50" s="550">
        <f>'Cumul annuel'!A50</f>
        <v/>
      </c>
      <c r="Q50" s="1373">
        <f>D50</f>
        <v/>
      </c>
      <c r="R50" s="1019" t="n">
        <v>0</v>
      </c>
      <c r="S50" s="1374">
        <f>Q50-R50</f>
        <v/>
      </c>
      <c r="T50" s="560">
        <f>Q50/R50-1</f>
        <v/>
      </c>
      <c r="U50" s="1373" t="n">
        <v>0</v>
      </c>
      <c r="V50" s="1375">
        <f>Q50-U50</f>
        <v/>
      </c>
      <c r="W50" s="560">
        <f>(Q50/U50-1)</f>
        <v/>
      </c>
      <c r="X50" s="561" t="n"/>
    </row>
    <row r="51" ht="15" customHeight="1" thickBot="1">
      <c r="A51" s="571" t="inlineStr">
        <is>
          <t xml:space="preserve">CA TOTAL </t>
        </is>
      </c>
      <c r="B51" s="1382">
        <f>SUM(B4:B50)</f>
        <v/>
      </c>
      <c r="C51" s="1383">
        <f>SUM(C4:C50)</f>
        <v/>
      </c>
      <c r="D51" s="1384">
        <f>SUM(D4:D50)</f>
        <v/>
      </c>
      <c r="E51" s="1384">
        <f>SUM(E4:E50)</f>
        <v/>
      </c>
      <c r="F51" s="1384">
        <f>SUM(F4:F50)</f>
        <v/>
      </c>
      <c r="G51" s="1384">
        <f>SUM(G4:G50)</f>
        <v/>
      </c>
      <c r="H51" s="1384">
        <f>SUM(H4:H50)</f>
        <v/>
      </c>
      <c r="I51" s="1384">
        <f>SUM(I4:I50)</f>
        <v/>
      </c>
      <c r="J51" s="1384">
        <f>SUM(J4:J50)</f>
        <v/>
      </c>
      <c r="K51" s="1384">
        <f>SUM(K4:K50)</f>
        <v/>
      </c>
      <c r="L51" s="1384">
        <f>SUM(L4:L50)</f>
        <v/>
      </c>
      <c r="M51" s="1384">
        <f>SUM(M4:M50)</f>
        <v/>
      </c>
      <c r="N51" s="1384">
        <f>SUM(N4:N50)</f>
        <v/>
      </c>
      <c r="O51" s="1384">
        <f>SUM(O4:O50)</f>
        <v/>
      </c>
      <c r="P51" s="1384">
        <f>SUM(P4:P50)</f>
        <v/>
      </c>
      <c r="Q51" s="1384">
        <f>SUM(Q4:Q50)</f>
        <v/>
      </c>
      <c r="R51" s="1384">
        <f>SUM(R4:R50)</f>
        <v/>
      </c>
      <c r="S51" s="1374">
        <f>Q51-R51</f>
        <v/>
      </c>
      <c r="T51" s="560">
        <f>Q51/R51-1</f>
        <v/>
      </c>
      <c r="U51" s="1385">
        <f>SUM(U4:U50)</f>
        <v/>
      </c>
      <c r="V51" s="1386">
        <f>Q51-U51</f>
        <v/>
      </c>
      <c r="W51" s="583">
        <f>(Q51/U51-1)</f>
        <v/>
      </c>
      <c r="X51" s="585" t="n"/>
    </row>
    <row r="52" ht="15" customHeight="1" thickBot="1">
      <c r="A52" s="586" t="inlineStr">
        <is>
          <t>Rétrocession</t>
        </is>
      </c>
      <c r="B52" s="1387" t="n"/>
      <c r="C52" s="1388" t="n"/>
      <c r="D52" s="1389" t="n"/>
      <c r="E52" s="1390" t="n"/>
      <c r="F52" s="1387" t="n"/>
      <c r="G52" s="1387" t="n"/>
      <c r="H52" s="1387" t="n"/>
      <c r="I52" s="1387" t="n"/>
      <c r="J52" s="1391" t="n"/>
      <c r="K52" s="1392" t="n"/>
      <c r="L52" s="1393" t="n"/>
      <c r="M52" s="1393" t="n"/>
      <c r="N52" s="1394">
        <f>J52+I52+F52+E52</f>
        <v/>
      </c>
      <c r="O52" s="1359" t="n"/>
      <c r="P52" s="594" t="inlineStr">
        <is>
          <t xml:space="preserve">Rétrocessions </t>
        </is>
      </c>
      <c r="Q52" s="1395">
        <f>Q53+Q54+Q55+Q56</f>
        <v/>
      </c>
      <c r="R52" s="1396">
        <f>R53+R54+R55+R56</f>
        <v/>
      </c>
      <c r="S52" s="595">
        <f>Q52-R52</f>
        <v/>
      </c>
      <c r="T52" s="560">
        <f>Q52/R52-1</f>
        <v/>
      </c>
      <c r="U52" s="1397" t="n">
        <v>12243509</v>
      </c>
      <c r="V52" s="595" t="n"/>
      <c r="W52" s="596">
        <f>(Q52/U52-1)</f>
        <v/>
      </c>
      <c r="X52" s="596" t="n"/>
    </row>
    <row r="53" ht="16" customHeight="1" thickBot="1">
      <c r="A53" s="597" t="inlineStr">
        <is>
          <t>Taux Rétrocession</t>
        </is>
      </c>
      <c r="B53" s="1398" t="n"/>
      <c r="C53" s="1399" t="n"/>
      <c r="D53" s="1400" t="n"/>
      <c r="E53" s="1401">
        <f>E52/E51</f>
        <v/>
      </c>
      <c r="F53" s="1402">
        <f>F52/F51</f>
        <v/>
      </c>
      <c r="G53" s="1402" t="n"/>
      <c r="H53" s="1402" t="n"/>
      <c r="I53" s="1402">
        <f>I52/I51</f>
        <v/>
      </c>
      <c r="J53" s="1402">
        <f>J52/J51</f>
        <v/>
      </c>
      <c r="K53" s="1403" t="n"/>
      <c r="L53" s="1403" t="n"/>
      <c r="M53" s="1403" t="n"/>
      <c r="N53" s="1404">
        <f>N52/N51</f>
        <v/>
      </c>
      <c r="O53" s="1359" t="n"/>
      <c r="P53" s="604" t="inlineStr">
        <is>
          <t>IMAR</t>
        </is>
      </c>
      <c r="Q53" s="1405">
        <f>E52</f>
        <v/>
      </c>
      <c r="R53" s="1019" t="n"/>
      <c r="S53" s="595">
        <f>Q53-R53</f>
        <v/>
      </c>
      <c r="T53" s="560">
        <f>Q53/R53-1</f>
        <v/>
      </c>
      <c r="U53" s="1406" t="n">
        <v>0</v>
      </c>
      <c r="V53" s="1407">
        <f>Q53-U53</f>
        <v/>
      </c>
      <c r="W53" s="606">
        <f>(Q53/U53-1)</f>
        <v/>
      </c>
      <c r="X53" s="608" t="n"/>
    </row>
    <row r="54" ht="19" customFormat="1" customHeight="1" s="1359" thickBot="1">
      <c r="A54" s="687" t="inlineStr">
        <is>
          <t>TOTAL Après rétrocession</t>
        </is>
      </c>
      <c r="B54" s="1408" t="n"/>
      <c r="C54" s="804" t="n"/>
      <c r="D54" s="1409">
        <f>D52+D51</f>
        <v/>
      </c>
      <c r="E54" s="1410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411">
        <f>SUM(D54:M54)</f>
        <v/>
      </c>
      <c r="P54" s="617" t="inlineStr">
        <is>
          <t>HINT</t>
        </is>
      </c>
      <c r="Q54" s="1412">
        <f>F52</f>
        <v/>
      </c>
      <c r="R54" s="1019" t="n"/>
      <c r="S54" s="595">
        <f>Q54-R54</f>
        <v/>
      </c>
      <c r="T54" s="560">
        <f>Q54/R54-1</f>
        <v/>
      </c>
      <c r="U54" s="1413" t="n">
        <v>190750</v>
      </c>
      <c r="V54" s="1407">
        <f>Q54-U54</f>
        <v/>
      </c>
      <c r="W54" s="614">
        <f>(Q54/U54-1)</f>
        <v/>
      </c>
      <c r="X54" s="1414" t="n"/>
    </row>
    <row r="55" ht="16" customHeight="1" thickBot="1">
      <c r="M55" s="1359" t="n"/>
      <c r="N55" s="1359" t="n"/>
      <c r="O55" s="1359" t="n"/>
      <c r="P55" s="617" t="inlineStr">
        <is>
          <t>AER</t>
        </is>
      </c>
      <c r="Q55" s="1412">
        <f>I52</f>
        <v/>
      </c>
      <c r="R55" s="1019" t="n"/>
      <c r="S55" s="595">
        <f>Q55-R55</f>
        <v/>
      </c>
      <c r="T55" s="560">
        <f>Q55/R55-1</f>
        <v/>
      </c>
      <c r="U55" s="1413" t="n">
        <v>0</v>
      </c>
      <c r="V55" s="1407">
        <f>Q55-U55</f>
        <v/>
      </c>
      <c r="W55" s="614">
        <f>(Q55/U55-1)</f>
        <v/>
      </c>
      <c r="X55" s="561" t="n"/>
    </row>
    <row r="56" ht="19" customFormat="1" customHeight="1" s="1359" thickBot="1">
      <c r="A56" s="545" t="n"/>
      <c r="C56" s="1415" t="n"/>
      <c r="D56" s="1415" t="n"/>
      <c r="E56" s="545" t="n"/>
      <c r="O56" s="1416" t="n"/>
      <c r="P56" s="621" t="inlineStr">
        <is>
          <t>EMAR</t>
        </is>
      </c>
      <c r="Q56" s="1417">
        <f>J52</f>
        <v/>
      </c>
      <c r="R56" s="1019" t="n"/>
      <c r="S56" s="595">
        <f>Q56-R56</f>
        <v/>
      </c>
      <c r="T56" s="560">
        <f>Q56/R56-1</f>
        <v/>
      </c>
      <c r="U56" s="1418" t="n">
        <v>12052759</v>
      </c>
      <c r="V56" s="1407">
        <f>Q56-U56</f>
        <v/>
      </c>
      <c r="W56" s="606">
        <f>(Q56/U56-1)</f>
        <v/>
      </c>
      <c r="X56" s="1419" t="n"/>
    </row>
    <row r="57" ht="19" customHeight="1" thickBot="1">
      <c r="C57" s="1420">
        <f>B51</f>
        <v/>
      </c>
      <c r="D57" s="777">
        <f>C57/$C$60</f>
        <v/>
      </c>
      <c r="E57" s="773" t="inlineStr">
        <is>
          <t>Loyer</t>
        </is>
      </c>
      <c r="M57" s="1359" t="n"/>
      <c r="N57" s="1359" t="n"/>
      <c r="O57" s="1359" t="n"/>
      <c r="P57" s="1421" t="inlineStr">
        <is>
          <t>ACTIVITE O&amp;G</t>
        </is>
      </c>
      <c r="Q57" s="1422">
        <f>Q51+Q53+Q54+Q55+Q56</f>
        <v/>
      </c>
      <c r="R57" s="1422">
        <f>R51+R52</f>
        <v/>
      </c>
      <c r="S57" s="1423">
        <f>Q57-R57</f>
        <v/>
      </c>
      <c r="T57" s="560">
        <f>Q57/R57-1</f>
        <v/>
      </c>
      <c r="U57" s="1421">
        <f>U51+U52</f>
        <v/>
      </c>
      <c r="V57" s="1424">
        <f>V51+V53+V54+V55+V56</f>
        <v/>
      </c>
      <c r="W57" s="627">
        <f>(Q57/U57-1)</f>
        <v/>
      </c>
      <c r="X57" s="1425" t="n"/>
    </row>
    <row r="58" ht="16" customHeight="1" thickBot="1">
      <c r="C58" s="1426">
        <f>C51</f>
        <v/>
      </c>
      <c r="D58" s="778">
        <f>C58/$C$60</f>
        <v/>
      </c>
      <c r="E58" s="775" t="inlineStr">
        <is>
          <t>LOGP</t>
        </is>
      </c>
      <c r="M58" s="1359" t="n"/>
      <c r="N58" s="1359" t="n"/>
      <c r="O58" s="1359" t="n"/>
      <c r="P58" s="1317" t="inlineStr">
        <is>
          <t>R26</t>
        </is>
      </c>
      <c r="Q58" s="1006" t="n"/>
      <c r="R58" s="845" t="n"/>
      <c r="S58" s="1010" t="n"/>
      <c r="T58" s="1010" t="n"/>
      <c r="U58" s="1318" t="inlineStr">
        <is>
          <t>Variation Réel 26/ Réel 25</t>
        </is>
      </c>
      <c r="V58" s="1010" t="n"/>
      <c r="W58" s="1011" t="n"/>
    </row>
    <row r="59">
      <c r="C59" s="1426">
        <f>D52</f>
        <v/>
      </c>
      <c r="D59" s="778">
        <f>C59/$C$60</f>
        <v/>
      </c>
      <c r="E59" s="775" t="inlineStr">
        <is>
          <t>Rétrocession</t>
        </is>
      </c>
      <c r="M59" s="1359" t="n"/>
      <c r="N59" s="1359" t="n"/>
      <c r="O59" s="1359" t="n"/>
      <c r="P59" s="631" t="n"/>
    </row>
    <row r="60" ht="18.5" customHeight="1">
      <c r="C60" s="1426">
        <f>D54</f>
        <v/>
      </c>
      <c r="D60" s="778">
        <f>C60/$C$60</f>
        <v/>
      </c>
      <c r="E60" s="775" t="n"/>
      <c r="M60" s="1359" t="n"/>
      <c r="N60" s="1359" t="n"/>
      <c r="O60" s="1359" t="n"/>
      <c r="P60" s="631" t="n"/>
      <c r="R60" s="1427" t="n">
        <v>687285000</v>
      </c>
    </row>
    <row r="61" ht="15" customHeight="1" thickBot="1">
      <c r="C61" s="776" t="n"/>
      <c r="D61" s="779" t="n"/>
      <c r="E61" s="882" t="n"/>
      <c r="M61" s="1359" t="n"/>
      <c r="N61" s="1359" t="n"/>
      <c r="O61" s="1359" t="n"/>
      <c r="P61" s="631" t="n"/>
    </row>
    <row r="62">
      <c r="M62" s="1359" t="n"/>
      <c r="N62" s="1359" t="n"/>
      <c r="O62" s="1359" t="n"/>
      <c r="P62" s="631" t="n"/>
      <c r="R62" s="1428">
        <f>R60-R51</f>
        <v/>
      </c>
    </row>
    <row r="63">
      <c r="M63" s="1359" t="n"/>
      <c r="N63" s="1359" t="n"/>
      <c r="O63" s="1359" t="n"/>
      <c r="P63" s="631" t="n"/>
    </row>
    <row r="64">
      <c r="M64" s="1359" t="n"/>
      <c r="N64" s="1359" t="n"/>
      <c r="O64" s="1359" t="n"/>
      <c r="P64" s="631" t="n"/>
    </row>
    <row r="65">
      <c r="M65" s="1359" t="n"/>
      <c r="N65" s="1359" t="n"/>
      <c r="O65" s="1359" t="n"/>
      <c r="P65" s="631" t="n"/>
    </row>
    <row r="66">
      <c r="M66" s="1359" t="n"/>
      <c r="N66" s="1359" t="n"/>
      <c r="O66" s="1359" t="n"/>
      <c r="P66" s="631" t="n"/>
    </row>
    <row r="67">
      <c r="M67" s="1359" t="n"/>
      <c r="N67" s="1359" t="n"/>
      <c r="O67" s="1359" t="n"/>
      <c r="P67" s="631" t="n"/>
    </row>
    <row r="68">
      <c r="M68" s="1359" t="n"/>
      <c r="N68" s="1359" t="n"/>
      <c r="O68" s="1359" t="n"/>
      <c r="P68" s="631" t="n"/>
    </row>
    <row r="69">
      <c r="M69" s="1359" t="n"/>
      <c r="N69" s="1359" t="n"/>
      <c r="O69" s="1359" t="n"/>
      <c r="P69" s="631" t="n"/>
    </row>
    <row r="70">
      <c r="M70" s="1359" t="n"/>
      <c r="N70" s="1359" t="n"/>
      <c r="O70" s="1359" t="n"/>
      <c r="P70" s="631" t="n"/>
    </row>
    <row r="71">
      <c r="M71" s="1359" t="n"/>
      <c r="N71" s="1359" t="n"/>
      <c r="O71" s="1359" t="n"/>
      <c r="P71" s="631" t="n"/>
    </row>
    <row r="72">
      <c r="M72" s="1359" t="n"/>
      <c r="N72" s="1359" t="n"/>
      <c r="O72" s="1359" t="n"/>
      <c r="P72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1.102362204724409" right="0.1181102362204725" top="0.9448818897637796" bottom="0.1574803149606299" header="0.3149606299212598" footer="0.3149606299212598"/>
  <pageSetup orientation="landscape" paperSize="8" scale="75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Y66"/>
  <sheetViews>
    <sheetView tabSelected="1" topLeftCell="A47" zoomScale="86" zoomScaleNormal="86" workbookViewId="0">
      <pane xSplit="1" topLeftCell="B1" activePane="topRight" state="frozen"/>
      <selection pane="topRight" activeCell="K42" sqref="K42"/>
    </sheetView>
  </sheetViews>
  <sheetFormatPr baseColWidth="10" defaultColWidth="11.453125" defaultRowHeight="14.5"/>
  <cols>
    <col width="34.81640625" bestFit="1" customWidth="1" style="545" min="1" max="1"/>
    <col width="14.453125" customWidth="1" style="1359" min="2" max="2"/>
    <col width="15.54296875" customWidth="1" style="545" min="3" max="3"/>
    <col width="16.7265625" customWidth="1" style="545" min="4" max="4"/>
    <col width="16.1796875" customWidth="1" style="545" min="5" max="5"/>
    <col width="15.26953125" customWidth="1" style="1359" min="6" max="6"/>
    <col width="13.453125" customWidth="1" style="1359" min="7" max="7"/>
    <col width="14.81640625" customWidth="1" style="1359" min="8" max="8"/>
    <col width="15.81640625" customWidth="1" style="1359" min="9" max="9"/>
    <col width="14.453125" customWidth="1" style="1359" min="10" max="10"/>
    <col width="14" customWidth="1" style="1359" min="11" max="11"/>
    <col width="13.26953125" customWidth="1" style="1359" min="12" max="12"/>
    <col width="12.1796875" bestFit="1" customWidth="1" style="631" min="13" max="13"/>
    <col width="18.7265625" customWidth="1" style="545" min="14" max="14"/>
    <col width="16.1796875" customWidth="1" style="545" min="15" max="15"/>
    <col width="34.453125" bestFit="1" customWidth="1" style="545" min="16" max="16"/>
    <col width="18.81640625" customWidth="1" style="545" min="17" max="17"/>
    <col width="19.26953125" customWidth="1" style="545" min="18" max="18"/>
    <col width="19.1796875" bestFit="1" customWidth="1" style="545" min="19" max="19"/>
    <col width="10.26953125" customWidth="1" style="545" min="20" max="20"/>
    <col width="19.1796875" bestFit="1" customWidth="1" style="545" min="21" max="22"/>
    <col width="13.54296875" customWidth="1" style="545" min="23" max="23"/>
    <col width="95.7265625" bestFit="1" customWidth="1" style="545" min="24" max="24"/>
    <col width="11.453125" customWidth="1" style="545" min="25" max="16384"/>
  </cols>
  <sheetData>
    <row r="1" ht="27" customHeight="1" thickBot="1">
      <c r="B1" s="1360" t="inlineStr">
        <is>
          <t xml:space="preserve">CAP Mai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61" t="inlineStr">
        <is>
          <t>BASE</t>
        </is>
      </c>
      <c r="C2" s="1005" t="n"/>
      <c r="D2" s="1006" t="n"/>
      <c r="E2" s="1317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 ht="25.5" customHeight="1">
      <c r="A3" s="547" t="n"/>
      <c r="B3" s="1429" t="inlineStr">
        <is>
          <t>LOYER</t>
        </is>
      </c>
      <c r="C3" s="541" t="inlineStr">
        <is>
          <t>Plog &amp; Divers</t>
        </is>
      </c>
      <c r="D3" s="728" t="inlineStr">
        <is>
          <t>Total BASE</t>
        </is>
      </c>
      <c r="E3" s="729" t="inlineStr">
        <is>
          <t>IMAR</t>
        </is>
      </c>
      <c r="F3" s="1430" t="inlineStr">
        <is>
          <t>HINT</t>
        </is>
      </c>
      <c r="G3" s="1431" t="inlineStr">
        <is>
          <t>IAER</t>
        </is>
      </c>
      <c r="H3" s="1431" t="inlineStr">
        <is>
          <t>EAER</t>
        </is>
      </c>
      <c r="I3" s="1430" t="inlineStr">
        <is>
          <t>AERIEN</t>
        </is>
      </c>
      <c r="J3" s="1430" t="inlineStr">
        <is>
          <t>EXPORT</t>
        </is>
      </c>
      <c r="K3" s="1430" t="inlineStr">
        <is>
          <t>SIRT</t>
        </is>
      </c>
      <c r="L3" s="1432" t="inlineStr">
        <is>
          <t>Afritramp</t>
        </is>
      </c>
      <c r="M3" s="1430" t="inlineStr">
        <is>
          <t>Meet &amp; Greet</t>
        </is>
      </c>
      <c r="N3" s="1433" t="inlineStr">
        <is>
          <t>CA GENERE Autres département</t>
        </is>
      </c>
      <c r="O3" s="1434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435">
        <f>D4-B4</f>
        <v/>
      </c>
      <c r="D4" s="1436" t="n">
        <v>17214000</v>
      </c>
      <c r="E4" s="1369" t="n"/>
      <c r="F4" s="1369" t="n"/>
      <c r="G4" s="1370" t="n"/>
      <c r="H4" s="1370" t="n"/>
      <c r="I4" s="1369">
        <f>G4+H4</f>
        <v/>
      </c>
      <c r="J4" s="1369" t="n"/>
      <c r="K4" s="1369" t="n"/>
      <c r="L4" s="1369" t="n"/>
      <c r="M4" s="1369" t="n"/>
      <c r="N4" s="1371">
        <f>J4+I4+F4+E4+L4+M4+K4</f>
        <v/>
      </c>
      <c r="O4" s="1372">
        <f>N4+D4</f>
        <v/>
      </c>
      <c r="P4" s="550">
        <f>'Cumul annuel'!A4</f>
        <v/>
      </c>
      <c r="Q4" s="1373">
        <f>D4</f>
        <v/>
      </c>
      <c r="R4" s="1025" t="n">
        <v>0</v>
      </c>
      <c r="S4" s="1375">
        <f>Q4-R4</f>
        <v/>
      </c>
      <c r="T4" s="560">
        <f>Q4/R4-1</f>
        <v/>
      </c>
      <c r="U4" s="1373" t="n">
        <v>5400000</v>
      </c>
      <c r="V4" s="1375">
        <f>Q4-U4</f>
        <v/>
      </c>
      <c r="W4" s="560">
        <f>(Q4/U4-1)</f>
        <v/>
      </c>
      <c r="X4" s="561" t="n"/>
    </row>
    <row r="5" ht="15" customHeight="1">
      <c r="A5" s="550">
        <f>'Cumul annuel'!A5</f>
        <v/>
      </c>
      <c r="B5" s="1321" t="n"/>
      <c r="C5" s="1435">
        <f>D5-B5</f>
        <v/>
      </c>
      <c r="D5" s="1436" t="n"/>
      <c r="E5" s="1369" t="n"/>
      <c r="F5" s="1369" t="n"/>
      <c r="G5" s="1370" t="n"/>
      <c r="H5" s="1370" t="n"/>
      <c r="I5" s="1369">
        <f>G5+H5</f>
        <v/>
      </c>
      <c r="J5" s="1369" t="n"/>
      <c r="K5" s="1369" t="n"/>
      <c r="L5" s="1369" t="n"/>
      <c r="M5" s="1369" t="n"/>
      <c r="N5" s="1371">
        <f>J5+I5+F5+E5+L5+M5+K5</f>
        <v/>
      </c>
      <c r="O5" s="1372">
        <f>N5+D5</f>
        <v/>
      </c>
      <c r="P5" s="550">
        <f>'Cumul annuel'!A5</f>
        <v/>
      </c>
      <c r="Q5" s="1373">
        <f>D5</f>
        <v/>
      </c>
      <c r="R5" s="1025" t="n">
        <v>6666666.666666667</v>
      </c>
      <c r="S5" s="1375">
        <f>Q5-R5</f>
        <v/>
      </c>
      <c r="T5" s="560">
        <f>Q5/R5-1</f>
        <v/>
      </c>
      <c r="U5" s="1373" t="n">
        <v>1640536</v>
      </c>
      <c r="V5" s="1376">
        <f>Q5-U5</f>
        <v/>
      </c>
      <c r="W5" s="560">
        <f>(Q5/U5-1)</f>
        <v/>
      </c>
      <c r="X5" s="561" t="n"/>
    </row>
    <row r="6" ht="15" customHeight="1">
      <c r="A6" s="550">
        <f>'Cumul annuel'!A6</f>
        <v/>
      </c>
      <c r="B6" s="1321" t="n">
        <v>22000000</v>
      </c>
      <c r="C6" s="1435">
        <f>D6-B6</f>
        <v/>
      </c>
      <c r="D6" s="1436" t="n">
        <v>22453000</v>
      </c>
      <c r="E6" s="1369" t="n"/>
      <c r="F6" s="1369" t="n"/>
      <c r="G6" s="1370" t="n"/>
      <c r="H6" s="1370" t="n"/>
      <c r="I6" s="1369">
        <f>G6+H6</f>
        <v/>
      </c>
      <c r="J6" s="1369" t="n"/>
      <c r="K6" s="1369" t="n"/>
      <c r="L6" s="1369" t="n"/>
      <c r="M6" s="1369" t="n"/>
      <c r="N6" s="1371">
        <f>J6+I6+F6+E6+L6+M6+K6</f>
        <v/>
      </c>
      <c r="O6" s="1372">
        <f>N6+D6</f>
        <v/>
      </c>
      <c r="P6" s="550">
        <f>'Cumul annuel'!A6</f>
        <v/>
      </c>
      <c r="Q6" s="1373">
        <f>D6</f>
        <v/>
      </c>
      <c r="R6" s="1025" t="n">
        <v>10750000</v>
      </c>
      <c r="S6" s="1375">
        <f>Q6-R6</f>
        <v/>
      </c>
      <c r="T6" s="560">
        <f>Q6/R6-1</f>
        <v/>
      </c>
      <c r="U6" s="1373" t="n">
        <v>55069559</v>
      </c>
      <c r="V6" s="1375">
        <f>Q6-U6</f>
        <v/>
      </c>
      <c r="W6" s="560">
        <f>(Q6/U6-1)</f>
        <v/>
      </c>
      <c r="X6" s="561" t="n"/>
    </row>
    <row r="7">
      <c r="A7" s="550">
        <f>'Cumul annuel'!A7</f>
        <v/>
      </c>
      <c r="B7" s="1321" t="n"/>
      <c r="C7" s="1435">
        <f>D7-B7</f>
        <v/>
      </c>
      <c r="D7" s="1436" t="n">
        <v>11176613</v>
      </c>
      <c r="E7" s="1369" t="n"/>
      <c r="F7" s="1369" t="n"/>
      <c r="G7" s="1370" t="n"/>
      <c r="H7" s="640" t="n"/>
      <c r="I7" s="1369">
        <f>G7+H7</f>
        <v/>
      </c>
      <c r="J7" s="1369" t="n"/>
      <c r="K7" s="1369" t="n"/>
      <c r="L7" s="1369" t="n"/>
      <c r="M7" s="1369" t="n"/>
      <c r="N7" s="1371">
        <f>J7+I7+F7+E7+L7+M7+K7</f>
        <v/>
      </c>
      <c r="O7" s="1372">
        <f>N7+D7</f>
        <v/>
      </c>
      <c r="P7" s="550">
        <f>'Cumul annuel'!A7</f>
        <v/>
      </c>
      <c r="Q7" s="1373">
        <f>D7</f>
        <v/>
      </c>
      <c r="R7" s="1025" t="n">
        <v>50000000</v>
      </c>
      <c r="S7" s="1375">
        <f>Q7-R7</f>
        <v/>
      </c>
      <c r="T7" s="560">
        <f>Q7/R7-1</f>
        <v/>
      </c>
      <c r="U7" s="1373" t="n">
        <v>25540109</v>
      </c>
      <c r="V7" s="1376">
        <f>Q7-U7</f>
        <v/>
      </c>
      <c r="W7" s="560">
        <f>(Q7/U7-1)</f>
        <v/>
      </c>
      <c r="X7" s="561" t="n"/>
    </row>
    <row r="8" ht="15" customHeight="1">
      <c r="A8" s="550">
        <f>'Cumul annuel'!A8</f>
        <v/>
      </c>
      <c r="B8" s="1321" t="n"/>
      <c r="C8" s="1435">
        <f>D8-B8</f>
        <v/>
      </c>
      <c r="D8" s="1436" t="n"/>
      <c r="E8" s="1369" t="n">
        <v>-1108440</v>
      </c>
      <c r="F8" s="1369" t="n"/>
      <c r="G8" s="1370" t="n">
        <v>-3580880</v>
      </c>
      <c r="H8" s="1370" t="n"/>
      <c r="I8" s="1369">
        <f>G8+H8</f>
        <v/>
      </c>
      <c r="J8" s="1369" t="n"/>
      <c r="K8" s="1369" t="n"/>
      <c r="L8" s="1369" t="n"/>
      <c r="M8" s="1369" t="n"/>
      <c r="N8" s="1371">
        <f>J8+I8+F8+E8+L8+M8+K8</f>
        <v/>
      </c>
      <c r="O8" s="1372">
        <f>N8+D8</f>
        <v/>
      </c>
      <c r="P8" s="550">
        <f>'Cumul annuel'!A8</f>
        <v/>
      </c>
      <c r="Q8" s="1373">
        <f>D8</f>
        <v/>
      </c>
      <c r="R8" s="1025" t="n">
        <v>0</v>
      </c>
      <c r="S8" s="1375">
        <f>Q8-R8</f>
        <v/>
      </c>
      <c r="T8" s="560">
        <f>Q8/R8-1</f>
        <v/>
      </c>
      <c r="U8" s="1373" t="n">
        <v>110721461</v>
      </c>
      <c r="V8" s="1375">
        <f>Q8-U8</f>
        <v/>
      </c>
      <c r="W8" s="560">
        <f>(Q8/U8-1)</f>
        <v/>
      </c>
      <c r="X8" s="561" t="n"/>
    </row>
    <row r="9" ht="15" customHeight="1">
      <c r="A9" s="550">
        <f>'Cumul annuel'!A9</f>
        <v/>
      </c>
      <c r="B9" s="1321" t="n"/>
      <c r="C9" s="1435">
        <f>D9-B9</f>
        <v/>
      </c>
      <c r="D9" s="1436" t="n">
        <v>57796588</v>
      </c>
      <c r="E9" s="1369" t="n"/>
      <c r="F9" s="1369" t="n"/>
      <c r="G9" s="1370" t="n"/>
      <c r="H9" s="1370" t="n"/>
      <c r="I9" s="1369">
        <f>G9+H9</f>
        <v/>
      </c>
      <c r="J9" s="1369" t="n"/>
      <c r="K9" s="1369" t="n"/>
      <c r="L9" s="1369" t="n"/>
      <c r="M9" s="1369" t="n"/>
      <c r="N9" s="1371">
        <f>J9+I9+F9+E9+L9+M9+K9</f>
        <v/>
      </c>
      <c r="O9" s="1372">
        <f>N9+D9</f>
        <v/>
      </c>
      <c r="P9" s="550">
        <f>'Cumul annuel'!A9</f>
        <v/>
      </c>
      <c r="Q9" s="1373">
        <f>D9</f>
        <v/>
      </c>
      <c r="R9" s="1025" t="n">
        <v>833333.3333333334</v>
      </c>
      <c r="S9" s="1376">
        <f>Q9-R9</f>
        <v/>
      </c>
      <c r="T9" s="560">
        <f>Q9/R9-1</f>
        <v/>
      </c>
      <c r="U9" s="1373" t="n">
        <v>0</v>
      </c>
      <c r="V9" s="1375">
        <f>Q9-U9</f>
        <v/>
      </c>
      <c r="W9" s="560">
        <f>(Q9/U9-1)</f>
        <v/>
      </c>
      <c r="X9" s="561" t="n"/>
    </row>
    <row r="10" ht="15" customHeight="1">
      <c r="A10" s="550">
        <f>'Cumul annuel'!A10</f>
        <v/>
      </c>
      <c r="B10" s="1321" t="n"/>
      <c r="C10" s="1435">
        <f>D10-B10</f>
        <v/>
      </c>
      <c r="D10" s="1436" t="n">
        <v>767464</v>
      </c>
      <c r="E10" s="1369" t="n"/>
      <c r="F10" s="1369" t="n"/>
      <c r="G10" s="1370" t="n">
        <v>-939452</v>
      </c>
      <c r="H10" s="1370" t="n"/>
      <c r="I10" s="1369">
        <f>G10+H10</f>
        <v/>
      </c>
      <c r="J10" s="1369" t="n"/>
      <c r="K10" s="1369" t="n"/>
      <c r="L10" s="1369" t="n"/>
      <c r="M10" s="1369" t="n"/>
      <c r="N10" s="1371">
        <f>J10+I10+F10+E10+L10+M10+K10</f>
        <v/>
      </c>
      <c r="O10" s="1372">
        <f>N10+D10</f>
        <v/>
      </c>
      <c r="P10" s="550">
        <f>'Cumul annuel'!A10</f>
        <v/>
      </c>
      <c r="Q10" s="1373">
        <f>D10</f>
        <v/>
      </c>
      <c r="R10" s="1025" t="n">
        <v>4600000</v>
      </c>
      <c r="S10" s="1376">
        <f>Q10-R10</f>
        <v/>
      </c>
      <c r="T10" s="560">
        <f>Q10/R10-1</f>
        <v/>
      </c>
      <c r="U10" s="1373" t="n">
        <v>1186714</v>
      </c>
      <c r="V10" s="1376">
        <f>Q10-U10</f>
        <v/>
      </c>
      <c r="W10" s="560">
        <f>(Q10/U10-1)</f>
        <v/>
      </c>
      <c r="X10" s="561" t="n"/>
    </row>
    <row r="11">
      <c r="A11" s="550">
        <f>'Cumul annuel'!A11</f>
        <v/>
      </c>
      <c r="B11" s="1321" t="n"/>
      <c r="C11" s="1435">
        <f>D11-B11</f>
        <v/>
      </c>
      <c r="D11" s="1436" t="n">
        <v>22146906</v>
      </c>
      <c r="E11" s="1369" t="n"/>
      <c r="F11" s="1369" t="n"/>
      <c r="G11" s="1370" t="n">
        <v>301740</v>
      </c>
      <c r="H11" s="1370" t="n"/>
      <c r="I11" s="1369">
        <f>G11+H11</f>
        <v/>
      </c>
      <c r="J11" s="1369" t="n"/>
      <c r="K11" s="1369" t="n"/>
      <c r="L11" s="1369" t="n">
        <v>1800000</v>
      </c>
      <c r="M11" s="1369" t="n"/>
      <c r="N11" s="1371">
        <f>J11+I11+F11+E11+L11+M11+K11</f>
        <v/>
      </c>
      <c r="O11" s="1372">
        <f>N11+D11</f>
        <v/>
      </c>
      <c r="P11" s="550">
        <f>'Cumul annuel'!A11</f>
        <v/>
      </c>
      <c r="Q11" s="1373">
        <f>D11</f>
        <v/>
      </c>
      <c r="R11" s="1025" t="n">
        <v>5833333.333333333</v>
      </c>
      <c r="S11" s="1376">
        <f>Q11-R11</f>
        <v/>
      </c>
      <c r="T11" s="560">
        <f>Q11/R11-1</f>
        <v/>
      </c>
      <c r="U11" s="1373" t="n">
        <v>12535336</v>
      </c>
      <c r="V11" s="1376">
        <f>Q11-U11</f>
        <v/>
      </c>
      <c r="W11" s="560">
        <f>(Q11/U11-1)</f>
        <v/>
      </c>
      <c r="X11" s="561" t="n"/>
    </row>
    <row r="12" ht="15" customHeight="1">
      <c r="A12" s="550">
        <f>'Cumul annuel'!A12</f>
        <v/>
      </c>
      <c r="B12" s="1321" t="n"/>
      <c r="C12" s="1435">
        <f>D12-B12</f>
        <v/>
      </c>
      <c r="D12" s="1436" t="n">
        <v>600000</v>
      </c>
      <c r="E12" s="1369" t="n"/>
      <c r="F12" s="1369" t="n"/>
      <c r="G12" s="1370" t="n"/>
      <c r="H12" s="640" t="n"/>
      <c r="I12" s="1369">
        <f>G12+H12</f>
        <v/>
      </c>
      <c r="J12" s="1369" t="n"/>
      <c r="K12" s="1369" t="n"/>
      <c r="L12" s="1369" t="n"/>
      <c r="M12" s="1369" t="n"/>
      <c r="N12" s="1371">
        <f>J12+I12+F12+E12+L12+M12+K12</f>
        <v/>
      </c>
      <c r="O12" s="1372">
        <f>N12+D12</f>
        <v/>
      </c>
      <c r="P12" s="550">
        <f>'Cumul annuel'!A12</f>
        <v/>
      </c>
      <c r="Q12" s="1373">
        <f>D12</f>
        <v/>
      </c>
      <c r="R12" s="1025" t="n">
        <v>44251279</v>
      </c>
      <c r="S12" s="1375">
        <f>Q12-R12</f>
        <v/>
      </c>
      <c r="T12" s="560">
        <f>Q12/R12-1</f>
        <v/>
      </c>
      <c r="U12" s="1373" t="n">
        <v>50000</v>
      </c>
      <c r="V12" s="1375">
        <f>Q12-U12</f>
        <v/>
      </c>
      <c r="W12" s="560">
        <f>(Q12/U12-1)</f>
        <v/>
      </c>
      <c r="X12" s="561" t="n"/>
    </row>
    <row r="13" ht="15" customHeight="1">
      <c r="A13" s="550">
        <f>'Cumul annuel'!A13</f>
        <v/>
      </c>
      <c r="B13" s="1321" t="n"/>
      <c r="C13" s="1435">
        <f>D13-B13</f>
        <v/>
      </c>
      <c r="D13" s="1436" t="n"/>
      <c r="E13" s="1369" t="n"/>
      <c r="F13" s="1369" t="n"/>
      <c r="G13" s="1370" t="n"/>
      <c r="H13" s="1370" t="n"/>
      <c r="I13" s="1369">
        <f>G13+H13</f>
        <v/>
      </c>
      <c r="J13" s="1437" t="n"/>
      <c r="K13" s="1369" t="n"/>
      <c r="L13" s="1369" t="n"/>
      <c r="M13" s="1369" t="n"/>
      <c r="N13" s="1371">
        <f>J13+I13+F13+E13+L13+M13+K13</f>
        <v/>
      </c>
      <c r="O13" s="1372">
        <f>N13+D13</f>
        <v/>
      </c>
      <c r="P13" s="550">
        <f>'Cumul annuel'!A13</f>
        <v/>
      </c>
      <c r="Q13" s="1373">
        <f>D13</f>
        <v/>
      </c>
      <c r="R13" s="1025" t="n">
        <v>55100388</v>
      </c>
      <c r="S13" s="1370">
        <f>Q13-R13</f>
        <v/>
      </c>
      <c r="T13" s="560">
        <f>Q13/R13-1</f>
        <v/>
      </c>
      <c r="U13" s="1373" t="n">
        <v>0</v>
      </c>
      <c r="V13" s="1370">
        <f>Q13-U13</f>
        <v/>
      </c>
      <c r="W13" s="560">
        <f>(Q13/U13-1)</f>
        <v/>
      </c>
      <c r="X13" s="561" t="n"/>
    </row>
    <row r="14" ht="15" customHeight="1">
      <c r="A14" s="550">
        <f>'Cumul annuel'!A14</f>
        <v/>
      </c>
      <c r="B14" s="1321" t="n"/>
      <c r="C14" s="1435">
        <f>D14-B14</f>
        <v/>
      </c>
      <c r="D14" s="1436" t="n"/>
      <c r="E14" s="1369" t="n"/>
      <c r="F14" s="1369" t="n"/>
      <c r="G14" s="1370" t="n"/>
      <c r="H14" s="1370" t="n"/>
      <c r="I14" s="1369">
        <f>G14+H14</f>
        <v/>
      </c>
      <c r="J14" s="642" t="n"/>
      <c r="K14" s="1369" t="n"/>
      <c r="L14" s="1369" t="n"/>
      <c r="M14" s="1369" t="n"/>
      <c r="N14" s="1371">
        <f>J14+I14+F14+E14+L14+M14+K14</f>
        <v/>
      </c>
      <c r="O14" s="1372">
        <f>N14+D14</f>
        <v/>
      </c>
      <c r="P14" s="550">
        <f>'Cumul annuel'!A14</f>
        <v/>
      </c>
      <c r="Q14" s="1373">
        <f>D14</f>
        <v/>
      </c>
      <c r="R14" s="1025" t="n">
        <v>0</v>
      </c>
      <c r="S14" s="1375">
        <f>Q14-R14</f>
        <v/>
      </c>
      <c r="T14" s="560">
        <f>Q14/R14-1</f>
        <v/>
      </c>
      <c r="U14" s="1373" t="n">
        <v>0</v>
      </c>
      <c r="V14" s="1370">
        <f>Q14-U14</f>
        <v/>
      </c>
      <c r="W14" s="560">
        <f>(Q14/U14-1)</f>
        <v/>
      </c>
      <c r="X14" s="561" t="n"/>
    </row>
    <row r="15" ht="15" customHeight="1">
      <c r="A15" s="550">
        <f>'Cumul annuel'!A15</f>
        <v/>
      </c>
      <c r="B15" s="1321" t="n"/>
      <c r="C15" s="1435">
        <f>D15-B15</f>
        <v/>
      </c>
      <c r="D15" s="1436" t="n"/>
      <c r="E15" s="1369" t="n"/>
      <c r="F15" s="1369" t="n"/>
      <c r="G15" s="1370" t="n"/>
      <c r="H15" s="1370" t="n"/>
      <c r="I15" s="1369">
        <f>G15+H15</f>
        <v/>
      </c>
      <c r="J15" s="1369" t="n"/>
      <c r="K15" s="1369" t="n"/>
      <c r="L15" s="1369" t="n"/>
      <c r="M15" s="1369" t="n"/>
      <c r="N15" s="1371">
        <f>J15+I15+F15+E15+L15+M15+K15</f>
        <v/>
      </c>
      <c r="O15" s="1372">
        <f>N15+D15</f>
        <v/>
      </c>
      <c r="P15" s="550">
        <f>'Cumul annuel'!A15</f>
        <v/>
      </c>
      <c r="Q15" s="1373">
        <f>D15</f>
        <v/>
      </c>
      <c r="R15" s="1025" t="n">
        <v>20833333.33333333</v>
      </c>
      <c r="S15" s="1376">
        <f>Q15-R15</f>
        <v/>
      </c>
      <c r="T15" s="560">
        <f>Q15/R15-1</f>
        <v/>
      </c>
      <c r="U15" s="1373" t="n">
        <v>22624138</v>
      </c>
      <c r="V15" s="1376">
        <f>Q15-U15</f>
        <v/>
      </c>
      <c r="W15" s="560">
        <f>(Q15/U15-1)</f>
        <v/>
      </c>
      <c r="X15" s="561" t="n"/>
    </row>
    <row r="16" ht="15" customHeight="1">
      <c r="A16" s="550">
        <f>'Cumul annuel'!A16</f>
        <v/>
      </c>
      <c r="B16" s="1321" t="n"/>
      <c r="C16" s="1435">
        <f>D16-B16</f>
        <v/>
      </c>
      <c r="D16" s="1436" t="n"/>
      <c r="E16" s="1369" t="n"/>
      <c r="F16" s="1369" t="n"/>
      <c r="G16" s="1370" t="n"/>
      <c r="H16" s="1370" t="n"/>
      <c r="I16" s="1369">
        <f>G16+H16</f>
        <v/>
      </c>
      <c r="J16" s="1369" t="n"/>
      <c r="K16" s="1369" t="n"/>
      <c r="L16" s="1369" t="n"/>
      <c r="M16" s="1369" t="n"/>
      <c r="N16" s="1371">
        <f>J16+I16+F16+E16+L16+M16+K16</f>
        <v/>
      </c>
      <c r="O16" s="1372">
        <f>N16+D16</f>
        <v/>
      </c>
      <c r="P16" s="550">
        <f>'Cumul annuel'!A16</f>
        <v/>
      </c>
      <c r="Q16" s="1373">
        <f>D16</f>
        <v/>
      </c>
      <c r="R16" s="1025" t="n">
        <v>833333.3333333334</v>
      </c>
      <c r="S16" s="1375">
        <f>Q16-R16</f>
        <v/>
      </c>
      <c r="T16" s="560">
        <f>Q16/R16-1</f>
        <v/>
      </c>
      <c r="U16" s="1373" t="n">
        <v>-158800</v>
      </c>
      <c r="V16" s="1370">
        <f>Q16-U16</f>
        <v/>
      </c>
      <c r="W16" s="560">
        <f>(Q16/U16-1)</f>
        <v/>
      </c>
      <c r="X16" s="561" t="n"/>
    </row>
    <row r="17">
      <c r="A17" s="550">
        <f>'Cumul annuel'!A17</f>
        <v/>
      </c>
      <c r="B17" s="1321" t="n">
        <v>54314000</v>
      </c>
      <c r="C17" s="1435">
        <f>D17-B17</f>
        <v/>
      </c>
      <c r="D17" s="1436" t="n">
        <v>158065059</v>
      </c>
      <c r="E17" s="1369" t="n"/>
      <c r="F17" s="1369" t="n"/>
      <c r="G17" s="1370" t="n"/>
      <c r="H17" s="1370" t="n"/>
      <c r="I17" s="1369">
        <f>G17+H17</f>
        <v/>
      </c>
      <c r="J17" s="1369" t="n"/>
      <c r="K17" s="1369" t="n">
        <v>39970000</v>
      </c>
      <c r="L17" s="1369" t="n">
        <v>4743565</v>
      </c>
      <c r="M17" s="1369" t="n"/>
      <c r="N17" s="1371">
        <f>J17+I17+F17+E17+L17+M17+K17</f>
        <v/>
      </c>
      <c r="O17" s="1372">
        <f>N17+D17</f>
        <v/>
      </c>
      <c r="P17" s="550">
        <f>'Cumul annuel'!A17</f>
        <v/>
      </c>
      <c r="Q17" s="1373">
        <f>D17</f>
        <v/>
      </c>
      <c r="R17" s="1025" t="n">
        <v>86111111.1111111</v>
      </c>
      <c r="S17" s="1375">
        <f>Q17-R17</f>
        <v/>
      </c>
      <c r="T17" s="560">
        <f>Q17/R17-1</f>
        <v/>
      </c>
      <c r="U17" s="1373" t="n">
        <v>62567025</v>
      </c>
      <c r="V17" s="1376">
        <f>Q17-U17</f>
        <v/>
      </c>
      <c r="W17" s="560">
        <f>(Q17/U17-1)</f>
        <v/>
      </c>
      <c r="X17" s="561" t="n"/>
    </row>
    <row r="18" ht="15" customHeight="1">
      <c r="A18" s="550">
        <f>'Cumul annuel'!A18</f>
        <v/>
      </c>
      <c r="B18" s="1321" t="n"/>
      <c r="C18" s="1435">
        <f>D18-B18</f>
        <v/>
      </c>
      <c r="D18" s="1436" t="n"/>
      <c r="E18" s="1369" t="n"/>
      <c r="F18" s="1369" t="n"/>
      <c r="G18" s="1370" t="n"/>
      <c r="H18" s="1370" t="n"/>
      <c r="I18" s="1369">
        <f>G18+H18</f>
        <v/>
      </c>
      <c r="J18" s="1369" t="n"/>
      <c r="K18" s="1369" t="n"/>
      <c r="L18" s="1369" t="n"/>
      <c r="M18" s="1369" t="n"/>
      <c r="N18" s="1371">
        <f>J18+I18+F18+E18+L18+M18+K18</f>
        <v/>
      </c>
      <c r="O18" s="1372">
        <f>N18+D18</f>
        <v/>
      </c>
      <c r="P18" s="550">
        <f>'Cumul annuel'!A18</f>
        <v/>
      </c>
      <c r="Q18" s="1373">
        <f>D18</f>
        <v/>
      </c>
      <c r="R18" s="1025" t="n">
        <v>0</v>
      </c>
      <c r="S18" s="1375">
        <f>Q18-R18</f>
        <v/>
      </c>
      <c r="T18" s="560">
        <f>Q18/R18-1</f>
        <v/>
      </c>
      <c r="U18" s="1373" t="n">
        <v>0</v>
      </c>
      <c r="V18" s="1370">
        <f>Q18-U18</f>
        <v/>
      </c>
      <c r="W18" s="560">
        <f>(Q18/U18-1)</f>
        <v/>
      </c>
      <c r="X18" s="561" t="n"/>
    </row>
    <row r="19" ht="15" customHeight="1">
      <c r="A19" s="550">
        <f>'Cumul annuel'!A19</f>
        <v/>
      </c>
      <c r="B19" s="1321" t="n">
        <v>2506000</v>
      </c>
      <c r="C19" s="1435">
        <f>D19-B19</f>
        <v/>
      </c>
      <c r="D19" s="1436" t="n">
        <v>4699894</v>
      </c>
      <c r="E19" s="1369" t="n"/>
      <c r="F19" s="1369" t="n"/>
      <c r="G19" s="1370" t="n"/>
      <c r="H19" s="640" t="n"/>
      <c r="I19" s="1369">
        <f>G19+H19</f>
        <v/>
      </c>
      <c r="J19" s="1369" t="n"/>
      <c r="K19" s="1369" t="n"/>
      <c r="L19" s="1369" t="n"/>
      <c r="M19" s="1369" t="n"/>
      <c r="N19" s="1371">
        <f>J19+I19+F19+E19+L19+M19+K19</f>
        <v/>
      </c>
      <c r="O19" s="1372">
        <f>N19+D19</f>
        <v/>
      </c>
      <c r="P19" s="550">
        <f>'Cumul annuel'!A19</f>
        <v/>
      </c>
      <c r="Q19" s="1373">
        <f>D19</f>
        <v/>
      </c>
      <c r="R19" s="1025" t="n">
        <v>5000000</v>
      </c>
      <c r="S19" s="1376">
        <f>Q19-R19</f>
        <v/>
      </c>
      <c r="T19" s="560">
        <f>Q19/R19-1</f>
        <v/>
      </c>
      <c r="U19" s="1373" t="n">
        <v>2630801</v>
      </c>
      <c r="V19" s="1376">
        <f>Q19-U19</f>
        <v/>
      </c>
      <c r="W19" s="560">
        <f>(Q19/U19-1)</f>
        <v/>
      </c>
      <c r="X19" s="561" t="n"/>
    </row>
    <row r="20" ht="15" customHeight="1">
      <c r="A20" s="550">
        <f>'Cumul annuel'!A20</f>
        <v/>
      </c>
      <c r="B20" s="1321" t="n"/>
      <c r="C20" s="1435">
        <f>D20-B20</f>
        <v/>
      </c>
      <c r="D20" s="1436" t="n"/>
      <c r="E20" s="1369" t="n"/>
      <c r="F20" s="1369" t="n"/>
      <c r="G20" s="1370" t="n"/>
      <c r="H20" s="1370" t="n"/>
      <c r="I20" s="1369">
        <f>G20+H20</f>
        <v/>
      </c>
      <c r="J20" s="1369" t="n"/>
      <c r="K20" s="1369" t="n"/>
      <c r="L20" s="1369" t="n"/>
      <c r="M20" s="1369" t="n"/>
      <c r="N20" s="1371">
        <f>J20+I20+F20+E20+L20+M20+K20</f>
        <v/>
      </c>
      <c r="O20" s="1372">
        <f>N20+D20</f>
        <v/>
      </c>
      <c r="P20" s="550">
        <f>'Cumul annuel'!A20</f>
        <v/>
      </c>
      <c r="Q20" s="1373">
        <f>D20</f>
        <v/>
      </c>
      <c r="R20" s="1025" t="n">
        <v>0</v>
      </c>
      <c r="S20" s="1376">
        <f>Q20-R20</f>
        <v/>
      </c>
      <c r="T20" s="560">
        <f>Q20/R20-1</f>
        <v/>
      </c>
      <c r="U20" s="1373" t="n">
        <v>4664750</v>
      </c>
      <c r="V20" s="1370">
        <f>Q20-U20</f>
        <v/>
      </c>
      <c r="W20" s="560">
        <f>(Q20/U20-1)</f>
        <v/>
      </c>
      <c r="X20" s="561" t="n"/>
    </row>
    <row r="21">
      <c r="A21" s="550">
        <f>'Cumul annuel'!A21</f>
        <v/>
      </c>
      <c r="B21" s="1321" t="n"/>
      <c r="C21" s="1435">
        <f>D21-B21</f>
        <v/>
      </c>
      <c r="D21" s="1436" t="n">
        <v>5624074</v>
      </c>
      <c r="E21" s="1369" t="n"/>
      <c r="F21" s="1369" t="n"/>
      <c r="G21" s="1370" t="n">
        <v>10713205</v>
      </c>
      <c r="H21" s="640" t="n"/>
      <c r="I21" s="1369">
        <f>G21+H21</f>
        <v/>
      </c>
      <c r="J21" s="1369" t="n"/>
      <c r="K21" s="1369" t="n"/>
      <c r="L21" s="1369" t="n"/>
      <c r="M21" s="1369" t="n"/>
      <c r="N21" s="1371">
        <f>J21+I21+F21+E21+L21+M21+K21</f>
        <v/>
      </c>
      <c r="O21" s="1372">
        <f>N21+D21</f>
        <v/>
      </c>
      <c r="P21" s="550">
        <f>'Cumul annuel'!A21</f>
        <v/>
      </c>
      <c r="Q21" s="1373">
        <f>D21</f>
        <v/>
      </c>
      <c r="R21" s="1025" t="n">
        <v>20833333.33333333</v>
      </c>
      <c r="S21" s="1376">
        <f>Q21-R21</f>
        <v/>
      </c>
      <c r="T21" s="560">
        <f>Q21/R21-1</f>
        <v/>
      </c>
      <c r="U21" s="1373" t="n">
        <v>45517442</v>
      </c>
      <c r="V21" s="1376">
        <f>Q21-U21</f>
        <v/>
      </c>
      <c r="W21" s="560">
        <f>(Q21/U21-1)</f>
        <v/>
      </c>
      <c r="X21" s="561" t="n"/>
    </row>
    <row r="22" ht="15" customHeight="1">
      <c r="A22" s="550">
        <f>'Cumul annuel'!A22</f>
        <v/>
      </c>
      <c r="B22" s="1321" t="n">
        <v>1470000</v>
      </c>
      <c r="C22" s="1435">
        <f>D22-B22</f>
        <v/>
      </c>
      <c r="D22" s="1436" t="n">
        <v>7785233</v>
      </c>
      <c r="E22" s="1369" t="n"/>
      <c r="F22" s="1369" t="n"/>
      <c r="G22" s="1370" t="n"/>
      <c r="H22" s="1370" t="n"/>
      <c r="I22" s="1369">
        <f>G22+H22</f>
        <v/>
      </c>
      <c r="J22" s="1369" t="n"/>
      <c r="K22" s="1369" t="n"/>
      <c r="L22" s="1369" t="n"/>
      <c r="M22" s="1369" t="n"/>
      <c r="N22" s="1371">
        <f>J22+I22+F22+E22+L22+M22+K22</f>
        <v/>
      </c>
      <c r="O22" s="1372">
        <f>N22+D22</f>
        <v/>
      </c>
      <c r="P22" s="550">
        <f>'Cumul annuel'!A22</f>
        <v/>
      </c>
      <c r="Q22" s="1373">
        <f>D22</f>
        <v/>
      </c>
      <c r="R22" s="1025" t="n">
        <v>13333333.33333333</v>
      </c>
      <c r="S22" s="1376">
        <f>Q22-R22</f>
        <v/>
      </c>
      <c r="T22" s="560">
        <f>Q22/R22-1</f>
        <v/>
      </c>
      <c r="U22" s="1373" t="n">
        <v>5680775</v>
      </c>
      <c r="V22" s="1376">
        <f>Q22-U22</f>
        <v/>
      </c>
      <c r="W22" s="560">
        <f>(Q22/U22-1)</f>
        <v/>
      </c>
      <c r="X22" s="561" t="n"/>
    </row>
    <row r="23" ht="15" customHeight="1">
      <c r="A23" s="550">
        <f>'Cumul annuel'!A23</f>
        <v/>
      </c>
      <c r="B23" s="1321" t="n"/>
      <c r="C23" s="1435">
        <f>D23-B23</f>
        <v/>
      </c>
      <c r="D23" s="1436" t="n"/>
      <c r="E23" s="1369" t="n"/>
      <c r="F23" s="1369" t="n"/>
      <c r="G23" s="1370" t="n"/>
      <c r="H23" s="1370" t="n"/>
      <c r="I23" s="1369">
        <f>G23+H23</f>
        <v/>
      </c>
      <c r="J23" s="1369" t="n"/>
      <c r="K23" s="1369" t="n"/>
      <c r="L23" s="1369" t="n"/>
      <c r="M23" s="1369" t="n"/>
      <c r="N23" s="1371">
        <f>J23+I23+F23+E23+L23+M23+K23</f>
        <v/>
      </c>
      <c r="O23" s="1372">
        <f>N23+D23</f>
        <v/>
      </c>
      <c r="P23" s="550">
        <f>'Cumul annuel'!A23</f>
        <v/>
      </c>
      <c r="Q23" s="1373">
        <f>D23</f>
        <v/>
      </c>
      <c r="R23" s="1025" t="n">
        <v>0</v>
      </c>
      <c r="S23" s="1376">
        <f>Q23-R23</f>
        <v/>
      </c>
      <c r="T23" s="560">
        <f>Q23/R23-1</f>
        <v/>
      </c>
      <c r="U23" s="1373" t="n">
        <v>0</v>
      </c>
      <c r="V23" s="1375">
        <f>Q23-U23</f>
        <v/>
      </c>
      <c r="W23" s="560">
        <f>(Q23/U23-1)</f>
        <v/>
      </c>
      <c r="X23" s="561" t="n"/>
    </row>
    <row r="24" ht="15" customHeight="1">
      <c r="A24" s="550">
        <f>'Cumul annuel'!A24</f>
        <v/>
      </c>
      <c r="B24" s="1321" t="n"/>
      <c r="C24" s="1435">
        <f>D24-B24</f>
        <v/>
      </c>
      <c r="D24" s="1436" t="n"/>
      <c r="E24" s="1369" t="n"/>
      <c r="F24" s="1369" t="n"/>
      <c r="G24" s="1370" t="n"/>
      <c r="H24" s="1370" t="n"/>
      <c r="I24" s="1369">
        <f>G24+H24</f>
        <v/>
      </c>
      <c r="J24" s="1369" t="n"/>
      <c r="K24" s="1369" t="n"/>
      <c r="L24" s="1369" t="n"/>
      <c r="M24" s="1369" t="n"/>
      <c r="N24" s="1371">
        <f>J24+I24+F24+E24+L24+M24+K24</f>
        <v/>
      </c>
      <c r="O24" s="1372">
        <f>N24+D24</f>
        <v/>
      </c>
      <c r="P24" s="550">
        <f>'Cumul annuel'!A24</f>
        <v/>
      </c>
      <c r="Q24" s="1373">
        <f>D24</f>
        <v/>
      </c>
      <c r="R24" s="1025" t="n">
        <v>0</v>
      </c>
      <c r="S24" s="1376">
        <f>Q24-R24</f>
        <v/>
      </c>
      <c r="T24" s="560">
        <f>Q24/R24-1</f>
        <v/>
      </c>
      <c r="U24" s="1373" t="n">
        <v>15000</v>
      </c>
      <c r="V24" s="1376">
        <f>Q24-U24</f>
        <v/>
      </c>
      <c r="W24" s="560">
        <f>(Q24/U24-1)</f>
        <v/>
      </c>
      <c r="X24" s="561" t="n"/>
    </row>
    <row r="25" ht="15" customHeight="1">
      <c r="A25" s="550">
        <f>'Cumul annuel'!A25</f>
        <v/>
      </c>
      <c r="B25" s="1321" t="n"/>
      <c r="C25" s="1435">
        <f>D25-B25</f>
        <v/>
      </c>
      <c r="D25" s="1436" t="n">
        <v>480000</v>
      </c>
      <c r="E25" s="1369" t="n"/>
      <c r="F25" s="1369" t="n"/>
      <c r="G25" s="1370" t="n"/>
      <c r="H25" s="1370" t="n"/>
      <c r="I25" s="1369">
        <f>G25+H25</f>
        <v/>
      </c>
      <c r="J25" s="1369" t="n"/>
      <c r="K25" s="1369" t="n"/>
      <c r="L25" s="1369" t="n"/>
      <c r="M25" s="1369" t="n"/>
      <c r="N25" s="1371">
        <f>J25+I25+F25+E25+L25+M25+K25</f>
        <v/>
      </c>
      <c r="O25" s="1372">
        <f>N25+D25</f>
        <v/>
      </c>
      <c r="P25" s="550">
        <f>'Cumul annuel'!A25</f>
        <v/>
      </c>
      <c r="Q25" s="1373">
        <f>D25</f>
        <v/>
      </c>
      <c r="R25" s="1025" t="n">
        <v>0</v>
      </c>
      <c r="S25" s="1375">
        <f>Q25-R25</f>
        <v/>
      </c>
      <c r="T25" s="560">
        <f>Q25/R25-1</f>
        <v/>
      </c>
      <c r="U25" s="1373" t="n">
        <v>0</v>
      </c>
      <c r="V25" s="1375">
        <f>Q25-U25</f>
        <v/>
      </c>
      <c r="W25" s="560">
        <f>(Q25/U25-1)</f>
        <v/>
      </c>
      <c r="X25" s="561" t="n"/>
    </row>
    <row r="26" ht="15" customHeight="1">
      <c r="A26" s="550">
        <f>'Cumul annuel'!A26</f>
        <v/>
      </c>
      <c r="B26" s="1321" t="n"/>
      <c r="C26" s="1435">
        <f>D26-B26</f>
        <v/>
      </c>
      <c r="D26" s="1436" t="n"/>
      <c r="E26" s="1369" t="n"/>
      <c r="F26" s="1369" t="n"/>
      <c r="G26" s="1370" t="n"/>
      <c r="H26" s="1370" t="n"/>
      <c r="I26" s="1369">
        <f>G26+H26</f>
        <v/>
      </c>
      <c r="J26" s="1369" t="n"/>
      <c r="K26" s="1369" t="n"/>
      <c r="L26" s="1369" t="n"/>
      <c r="M26" s="1369" t="n"/>
      <c r="N26" s="1371">
        <f>J26+I26+F26+E26+L26+M26+K26</f>
        <v/>
      </c>
      <c r="O26" s="1372">
        <f>N26+D26</f>
        <v/>
      </c>
      <c r="P26" s="550">
        <f>'Cumul annuel'!A26</f>
        <v/>
      </c>
      <c r="Q26" s="1373">
        <f>D26</f>
        <v/>
      </c>
      <c r="R26" s="1025" t="n">
        <v>833333.3333333334</v>
      </c>
      <c r="S26" s="1370">
        <f>Q26-R26</f>
        <v/>
      </c>
      <c r="T26" s="560">
        <f>Q26/R26-1</f>
        <v/>
      </c>
      <c r="U26" s="1373" t="n">
        <v>0</v>
      </c>
      <c r="V26" s="1370">
        <f>Q26-U26</f>
        <v/>
      </c>
      <c r="W26" s="560">
        <f>(Q26/U26-1)</f>
        <v/>
      </c>
      <c r="X26" s="561" t="n"/>
    </row>
    <row r="27" ht="15" customHeight="1">
      <c r="A27" s="550">
        <f>'Cumul annuel'!A27</f>
        <v/>
      </c>
      <c r="B27" s="1321" t="n"/>
      <c r="C27" s="1435">
        <f>D27-B27</f>
        <v/>
      </c>
      <c r="D27" s="1436" t="n"/>
      <c r="E27" s="1369" t="n"/>
      <c r="F27" s="1369" t="n"/>
      <c r="G27" s="1370" t="n"/>
      <c r="H27" s="1370" t="n"/>
      <c r="I27" s="1369">
        <f>G27+H27</f>
        <v/>
      </c>
      <c r="J27" s="1369" t="n"/>
      <c r="K27" s="1369" t="n"/>
      <c r="L27" s="1369" t="n"/>
      <c r="M27" s="1369" t="n"/>
      <c r="N27" s="1371">
        <f>J27+I27+F27+E27+L27+M27+K27</f>
        <v/>
      </c>
      <c r="O27" s="1372">
        <f>N27+D27</f>
        <v/>
      </c>
      <c r="P27" s="550">
        <f>'Cumul annuel'!A27</f>
        <v/>
      </c>
      <c r="Q27" s="1373">
        <f>D27</f>
        <v/>
      </c>
      <c r="R27" s="1025" t="n">
        <v>4166666.666666667</v>
      </c>
      <c r="S27" s="1375">
        <f>Q27-R27</f>
        <v/>
      </c>
      <c r="T27" s="560">
        <f>Q27/R27-1</f>
        <v/>
      </c>
      <c r="U27" s="1373" t="n">
        <v>0</v>
      </c>
      <c r="V27" s="1375">
        <f>Q27-U27</f>
        <v/>
      </c>
      <c r="W27" s="560">
        <f>(Q27/U27-1)</f>
        <v/>
      </c>
      <c r="X27" s="561" t="n"/>
    </row>
    <row r="28" ht="15" customHeight="1">
      <c r="A28" s="550">
        <f>'Cumul annuel'!A28</f>
        <v/>
      </c>
      <c r="B28" s="1321" t="n"/>
      <c r="C28" s="1435">
        <f>D28-B28</f>
        <v/>
      </c>
      <c r="D28" s="1436" t="n"/>
      <c r="E28" s="1369" t="n"/>
      <c r="F28" s="1369" t="n"/>
      <c r="G28" s="1370" t="n"/>
      <c r="H28" s="1370" t="n"/>
      <c r="I28" s="1369">
        <f>G28+H28</f>
        <v/>
      </c>
      <c r="J28" s="1369" t="n"/>
      <c r="K28" s="1369" t="n"/>
      <c r="L28" s="1369" t="n"/>
      <c r="M28" s="1369" t="n"/>
      <c r="N28" s="1371">
        <f>J28+I28+F28+E28+L28+M28+K28</f>
        <v/>
      </c>
      <c r="O28" s="1372">
        <f>N28+D28</f>
        <v/>
      </c>
      <c r="P28" s="550">
        <f>'Cumul annuel'!A28</f>
        <v/>
      </c>
      <c r="Q28" s="1373">
        <f>D28</f>
        <v/>
      </c>
      <c r="R28" s="1025" t="n">
        <v>5000000</v>
      </c>
      <c r="S28" s="1376">
        <f>Q28-R28</f>
        <v/>
      </c>
      <c r="T28" s="560">
        <f>Q28/R28-1</f>
        <v/>
      </c>
      <c r="U28" s="1373" t="n">
        <v>1925000</v>
      </c>
      <c r="V28" s="1376">
        <f>Q28-U28</f>
        <v/>
      </c>
      <c r="W28" s="560">
        <f>(Q28/U28-1)</f>
        <v/>
      </c>
      <c r="X28" s="561" t="n"/>
    </row>
    <row r="29" ht="15" customHeight="1">
      <c r="A29" s="550">
        <f>'Cumul annuel'!A29</f>
        <v/>
      </c>
      <c r="B29" s="1321" t="n"/>
      <c r="C29" s="1435">
        <f>D29-B29</f>
        <v/>
      </c>
      <c r="D29" s="1436" t="n"/>
      <c r="E29" s="1369" t="n"/>
      <c r="F29" s="1369" t="n"/>
      <c r="G29" s="1370" t="n"/>
      <c r="H29" s="1370" t="n"/>
      <c r="I29" s="1369">
        <f>G29+H29</f>
        <v/>
      </c>
      <c r="J29" s="1369" t="n"/>
      <c r="K29" s="1369" t="n"/>
      <c r="L29" s="1369" t="n"/>
      <c r="M29" s="1369" t="n"/>
      <c r="N29" s="1371">
        <f>J29+I29+F29+E29+L29+M29+K29</f>
        <v/>
      </c>
      <c r="O29" s="1372">
        <f>N29+D29</f>
        <v/>
      </c>
      <c r="P29" s="550">
        <f>'Cumul annuel'!A29</f>
        <v/>
      </c>
      <c r="Q29" s="1373">
        <f>D29</f>
        <v/>
      </c>
      <c r="R29" s="1025" t="n">
        <v>37500000</v>
      </c>
      <c r="S29" s="1375">
        <f>Q29-R29</f>
        <v/>
      </c>
      <c r="T29" s="560">
        <f>Q29/R29-1</f>
        <v/>
      </c>
      <c r="U29" s="1373" t="n">
        <v>47239000</v>
      </c>
      <c r="V29" s="1375">
        <f>Q29-U29</f>
        <v/>
      </c>
      <c r="W29" s="560">
        <f>(Q29/U29-1)</f>
        <v/>
      </c>
      <c r="X29" s="561" t="n"/>
    </row>
    <row r="30" ht="15" customHeight="1">
      <c r="A30" s="550">
        <f>'Cumul annuel'!A30</f>
        <v/>
      </c>
      <c r="B30" s="1321" t="n"/>
      <c r="C30" s="1435">
        <f>D30-B30</f>
        <v/>
      </c>
      <c r="D30" s="1436" t="n"/>
      <c r="E30" s="1369" t="n"/>
      <c r="F30" s="1369" t="n"/>
      <c r="G30" s="1370" t="n"/>
      <c r="H30" s="1370" t="n"/>
      <c r="I30" s="1369">
        <f>G30+H30</f>
        <v/>
      </c>
      <c r="J30" s="1369" t="n"/>
      <c r="K30" s="1369" t="n"/>
      <c r="L30" s="1369" t="n"/>
      <c r="M30" s="1369" t="n"/>
      <c r="N30" s="1371">
        <f>J30+I30+F30+E30+L30+M30+K30</f>
        <v/>
      </c>
      <c r="O30" s="1372">
        <f>N30+D30</f>
        <v/>
      </c>
      <c r="P30" s="550">
        <f>'Cumul annuel'!A30</f>
        <v/>
      </c>
      <c r="Q30" s="1373">
        <f>D30</f>
        <v/>
      </c>
      <c r="R30" s="1025" t="n">
        <v>0</v>
      </c>
      <c r="S30" s="1375">
        <f>Q30-R30</f>
        <v/>
      </c>
      <c r="T30" s="560">
        <f>Q30/R30-1</f>
        <v/>
      </c>
      <c r="U30" s="1373" t="n">
        <v>0</v>
      </c>
      <c r="V30" s="1376">
        <f>Q30-U30</f>
        <v/>
      </c>
      <c r="W30" s="560">
        <f>(Q30/U30-1)</f>
        <v/>
      </c>
      <c r="X30" s="561" t="n"/>
    </row>
    <row r="31" ht="15" customHeight="1">
      <c r="A31" s="550">
        <f>'Cumul annuel'!A31</f>
        <v/>
      </c>
      <c r="B31" s="1321" t="n"/>
      <c r="C31" s="1435">
        <f>D31-B31</f>
        <v/>
      </c>
      <c r="D31" s="1436" t="n"/>
      <c r="E31" s="1369" t="n"/>
      <c r="F31" s="1369" t="n"/>
      <c r="G31" s="1370" t="n"/>
      <c r="H31" s="1370" t="n"/>
      <c r="I31" s="1369">
        <f>G31+H31</f>
        <v/>
      </c>
      <c r="J31" s="1369" t="n"/>
      <c r="K31" s="1369" t="n"/>
      <c r="L31" s="1369" t="n"/>
      <c r="M31" s="1369" t="n"/>
      <c r="N31" s="1371">
        <f>J31+I31+F31+E31+L31+M31+K31</f>
        <v/>
      </c>
      <c r="O31" s="1372">
        <f>N31+D31</f>
        <v/>
      </c>
      <c r="P31" s="550">
        <f>'Cumul annuel'!A31</f>
        <v/>
      </c>
      <c r="Q31" s="1373">
        <f>D31</f>
        <v/>
      </c>
      <c r="R31" s="1025" t="n">
        <v>0</v>
      </c>
      <c r="S31" s="1370">
        <f>Q31-R31</f>
        <v/>
      </c>
      <c r="T31" s="560">
        <f>Q31/R31-1</f>
        <v/>
      </c>
      <c r="U31" s="1373" t="n">
        <v>0</v>
      </c>
      <c r="V31" s="1376">
        <f>Q31-U31</f>
        <v/>
      </c>
      <c r="W31" s="560">
        <f>(Q31/U31-1)</f>
        <v/>
      </c>
      <c r="X31" s="561" t="n"/>
    </row>
    <row r="32" ht="15" customHeight="1">
      <c r="A32" s="550">
        <f>'Cumul annuel'!A32</f>
        <v/>
      </c>
      <c r="B32" s="1321" t="n"/>
      <c r="C32" s="1435">
        <f>D32-B32</f>
        <v/>
      </c>
      <c r="D32" s="1436" t="n"/>
      <c r="E32" s="1369" t="n"/>
      <c r="F32" s="1369" t="n"/>
      <c r="G32" s="1370" t="n"/>
      <c r="H32" s="1370" t="n"/>
      <c r="I32" s="1369">
        <f>G32+H32</f>
        <v/>
      </c>
      <c r="J32" s="1369" t="n"/>
      <c r="K32" s="1369" t="n"/>
      <c r="L32" s="1369" t="n"/>
      <c r="M32" s="1369" t="n"/>
      <c r="N32" s="1371">
        <f>J32+I32+F32+E32+L32+M32+K32</f>
        <v/>
      </c>
      <c r="O32" s="1372">
        <f>N32+D32</f>
        <v/>
      </c>
      <c r="P32" s="550">
        <f>'Cumul annuel'!A32</f>
        <v/>
      </c>
      <c r="Q32" s="1373">
        <f>D32</f>
        <v/>
      </c>
      <c r="R32" s="1025" t="n">
        <v>0</v>
      </c>
      <c r="S32" s="1370">
        <f>Q32-R32</f>
        <v/>
      </c>
      <c r="T32" s="560">
        <f>Q32/R32-1</f>
        <v/>
      </c>
      <c r="U32" s="1373" t="n">
        <v>0</v>
      </c>
      <c r="V32" s="1370">
        <f>Q32-U32</f>
        <v/>
      </c>
      <c r="W32" s="560">
        <f>(Q32/U32-1)</f>
        <v/>
      </c>
      <c r="X32" s="561" t="n"/>
    </row>
    <row r="33" ht="15" customHeight="1">
      <c r="A33" s="550">
        <f>'Cumul annuel'!A33</f>
        <v/>
      </c>
      <c r="B33" s="1321" t="n"/>
      <c r="C33" s="1435">
        <f>D33-B33</f>
        <v/>
      </c>
      <c r="D33" s="1436" t="n"/>
      <c r="E33" s="1369" t="n"/>
      <c r="F33" s="1369" t="n"/>
      <c r="G33" s="1370" t="n"/>
      <c r="H33" s="1370" t="n"/>
      <c r="I33" s="1369">
        <f>G33+H33</f>
        <v/>
      </c>
      <c r="J33" s="1369" t="n"/>
      <c r="K33" s="1369" t="n"/>
      <c r="L33" s="1369" t="n"/>
      <c r="M33" s="1369" t="n"/>
      <c r="N33" s="1371">
        <f>J33+I33+F33+E33+L33+M33+K33</f>
        <v/>
      </c>
      <c r="O33" s="1372">
        <f>N33+D33</f>
        <v/>
      </c>
      <c r="P33" s="550">
        <f>'Cumul annuel'!A33</f>
        <v/>
      </c>
      <c r="Q33" s="1373">
        <f>D33</f>
        <v/>
      </c>
      <c r="R33" s="1025" t="n">
        <v>0</v>
      </c>
      <c r="S33" s="1370">
        <f>Q33-R33</f>
        <v/>
      </c>
      <c r="T33" s="560">
        <f>Q33/R33-1</f>
        <v/>
      </c>
      <c r="U33" s="1373" t="n">
        <v>0</v>
      </c>
      <c r="V33" s="1370">
        <f>Q33-U33</f>
        <v/>
      </c>
      <c r="W33" s="560">
        <f>(Q33/U33-1)</f>
        <v/>
      </c>
      <c r="X33" s="561" t="n"/>
    </row>
    <row r="34" ht="15" customHeight="1">
      <c r="A34" s="550">
        <f>'Cumul annuel'!A34</f>
        <v/>
      </c>
      <c r="B34" s="1321" t="n"/>
      <c r="C34" s="1435">
        <f>D34-B34</f>
        <v/>
      </c>
      <c r="D34" s="1436" t="n"/>
      <c r="E34" s="1369" t="n"/>
      <c r="F34" s="1369" t="n"/>
      <c r="G34" s="1370" t="n"/>
      <c r="H34" s="1370" t="n"/>
      <c r="I34" s="1369">
        <f>G34+H34</f>
        <v/>
      </c>
      <c r="J34" s="1369" t="n"/>
      <c r="K34" s="1369" t="n"/>
      <c r="L34" s="1369" t="n"/>
      <c r="M34" s="1369" t="n"/>
      <c r="N34" s="1371">
        <f>J34+I34+F34+E34+L34+M34+K34</f>
        <v/>
      </c>
      <c r="O34" s="1372">
        <f>N34+D34</f>
        <v/>
      </c>
      <c r="P34" s="550">
        <f>'Cumul annuel'!A34</f>
        <v/>
      </c>
      <c r="Q34" s="1373">
        <f>D34</f>
        <v/>
      </c>
      <c r="R34" s="1025" t="n">
        <v>0</v>
      </c>
      <c r="S34" s="1376">
        <f>Q34-R34</f>
        <v/>
      </c>
      <c r="T34" s="560">
        <f>Q34/R34-1</f>
        <v/>
      </c>
      <c r="U34" s="1373" t="n">
        <v>0</v>
      </c>
      <c r="V34" s="1376">
        <f>Q34-U34</f>
        <v/>
      </c>
      <c r="W34" s="560">
        <f>(Q34/U34-1)</f>
        <v/>
      </c>
      <c r="X34" s="561" t="n"/>
    </row>
    <row r="35" ht="15" customHeight="1">
      <c r="A35" s="550">
        <f>'Cumul annuel'!A35</f>
        <v/>
      </c>
      <c r="B35" s="1321" t="n"/>
      <c r="C35" s="1435">
        <f>D35-B35</f>
        <v/>
      </c>
      <c r="D35" s="1436" t="n"/>
      <c r="E35" s="1369" t="n"/>
      <c r="F35" s="1369" t="n"/>
      <c r="G35" s="1370" t="n"/>
      <c r="H35" s="1370" t="n"/>
      <c r="I35" s="1369">
        <f>G35+H35</f>
        <v/>
      </c>
      <c r="J35" s="1369" t="n"/>
      <c r="K35" s="1369" t="n"/>
      <c r="L35" s="1369" t="n"/>
      <c r="M35" s="1369" t="n"/>
      <c r="N35" s="1371">
        <f>J35+I35+F35+E35+L35+M35+K35</f>
        <v/>
      </c>
      <c r="O35" s="1372">
        <f>N35+D35</f>
        <v/>
      </c>
      <c r="P35" s="550">
        <f>'Cumul annuel'!A35</f>
        <v/>
      </c>
      <c r="Q35" s="1373">
        <f>D35</f>
        <v/>
      </c>
      <c r="R35" s="1025" t="n">
        <v>66666.66666666667</v>
      </c>
      <c r="S35" s="1376">
        <f>Q35-R35</f>
        <v/>
      </c>
      <c r="T35" s="560">
        <f>Q35/R35-1</f>
        <v/>
      </c>
      <c r="U35" s="1373" t="n">
        <v>0</v>
      </c>
      <c r="V35" s="1376">
        <f>Q35-U35</f>
        <v/>
      </c>
      <c r="W35" s="560">
        <f>(Q35/U35-1)</f>
        <v/>
      </c>
      <c r="X35" s="561" t="n"/>
    </row>
    <row r="36" ht="15" customHeight="1">
      <c r="A36" s="550">
        <f>'Cumul annuel'!A36</f>
        <v/>
      </c>
      <c r="B36" s="1321" t="n"/>
      <c r="C36" s="1435">
        <f>D36-B36</f>
        <v/>
      </c>
      <c r="D36" s="1436" t="n"/>
      <c r="E36" s="1369" t="n"/>
      <c r="F36" s="1369" t="n"/>
      <c r="G36" s="1370" t="n"/>
      <c r="H36" s="1370" t="n"/>
      <c r="I36" s="1369">
        <f>G36+H36</f>
        <v/>
      </c>
      <c r="J36" s="1369" t="n"/>
      <c r="K36" s="1369" t="n">
        <v>20000000</v>
      </c>
      <c r="L36" s="1369" t="n"/>
      <c r="M36" s="1369" t="n"/>
      <c r="N36" s="1371">
        <f>J36+I36+F36+E36+L36+M36+K36</f>
        <v/>
      </c>
      <c r="O36" s="1372">
        <f>N36+D36</f>
        <v/>
      </c>
      <c r="P36" s="550">
        <f>'Cumul annuel'!A36</f>
        <v/>
      </c>
      <c r="Q36" s="1373">
        <f>D36</f>
        <v/>
      </c>
      <c r="R36" s="1025" t="n">
        <v>0</v>
      </c>
      <c r="S36" s="1370">
        <f>Q36-R36</f>
        <v/>
      </c>
      <c r="T36" s="560">
        <f>Q36/R36-1</f>
        <v/>
      </c>
      <c r="U36" s="1373" t="n">
        <v>0</v>
      </c>
      <c r="V36" s="1370">
        <f>Q36-U36</f>
        <v/>
      </c>
      <c r="W36" s="560">
        <f>(Q36/U36-1)</f>
        <v/>
      </c>
      <c r="X36" s="561" t="n"/>
    </row>
    <row r="37" ht="15" customHeight="1">
      <c r="A37" s="550">
        <f>'Cumul annuel'!A37</f>
        <v/>
      </c>
      <c r="B37" s="1321" t="n"/>
      <c r="C37" s="1435">
        <f>D37-B37</f>
        <v/>
      </c>
      <c r="D37" s="1436" t="n"/>
      <c r="E37" s="1369" t="n"/>
      <c r="F37" s="1369" t="n"/>
      <c r="G37" s="1370" t="n"/>
      <c r="H37" s="1370" t="n"/>
      <c r="I37" s="1369">
        <f>G37+H37</f>
        <v/>
      </c>
      <c r="J37" s="1369" t="n"/>
      <c r="K37" s="1369" t="n"/>
      <c r="L37" s="1369" t="n"/>
      <c r="M37" s="1369" t="n"/>
      <c r="N37" s="1371">
        <f>J37+I37+F37+E37+L37+M37+K37</f>
        <v/>
      </c>
      <c r="O37" s="1372">
        <f>N37+D37</f>
        <v/>
      </c>
      <c r="P37" s="550">
        <f>'Cumul annuel'!A37</f>
        <v/>
      </c>
      <c r="Q37" s="1373">
        <f>D37</f>
        <v/>
      </c>
      <c r="R37" s="1025" t="n">
        <v>833333.3333333334</v>
      </c>
      <c r="S37" s="1376">
        <f>Q37-R37</f>
        <v/>
      </c>
      <c r="T37" s="560">
        <f>Q37/R37-1</f>
        <v/>
      </c>
      <c r="U37" s="1373" t="n">
        <v>0</v>
      </c>
      <c r="V37" s="1376">
        <f>Q37-U37</f>
        <v/>
      </c>
      <c r="W37" s="560">
        <f>(Q37/U37-1)</f>
        <v/>
      </c>
      <c r="X37" s="561" t="n"/>
    </row>
    <row r="38">
      <c r="A38" s="550">
        <f>'Cumul annuel'!A38</f>
        <v/>
      </c>
      <c r="B38" s="1321" t="n"/>
      <c r="C38" s="1435">
        <f>D38-B38</f>
        <v/>
      </c>
      <c r="D38" s="1436" t="n">
        <v>73183050</v>
      </c>
      <c r="E38" s="1369" t="n"/>
      <c r="F38" s="1369" t="n"/>
      <c r="G38" s="1370" t="n"/>
      <c r="H38" s="1370" t="n"/>
      <c r="I38" s="1369">
        <f>G38+H38</f>
        <v/>
      </c>
      <c r="J38" s="642" t="n"/>
      <c r="K38" s="1369" t="n">
        <v>2800000</v>
      </c>
      <c r="L38" s="1369" t="n"/>
      <c r="M38" s="1369" t="n"/>
      <c r="N38" s="1371">
        <f>J38+I38+F38+E38+L38+M38+K38</f>
        <v/>
      </c>
      <c r="O38" s="1372">
        <f>N38+D38</f>
        <v/>
      </c>
      <c r="P38" s="550">
        <f>'Cumul annuel'!A38</f>
        <v/>
      </c>
      <c r="Q38" s="1373">
        <f>D38</f>
        <v/>
      </c>
      <c r="R38" s="1025" t="n">
        <v>55833333.33333334</v>
      </c>
      <c r="S38" s="1376">
        <f>Q38-R38</f>
        <v/>
      </c>
      <c r="T38" s="560">
        <f>Q38/R38-1</f>
        <v/>
      </c>
      <c r="U38" s="1373" t="n">
        <v>105811850</v>
      </c>
      <c r="V38" s="1376">
        <f>Q38-U38</f>
        <v/>
      </c>
      <c r="W38" s="560">
        <f>(Q38/U38-1)</f>
        <v/>
      </c>
      <c r="X38" s="561" t="n"/>
    </row>
    <row r="39" ht="15" customFormat="1" customHeight="1" s="564">
      <c r="A39" s="550">
        <f>'Cumul annuel'!A39</f>
        <v/>
      </c>
      <c r="B39" s="1321" t="n"/>
      <c r="C39" s="1435">
        <f>D39-B39</f>
        <v/>
      </c>
      <c r="D39" s="1436" t="n"/>
      <c r="E39" s="1369" t="n"/>
      <c r="F39" s="1369" t="n"/>
      <c r="G39" s="1370" t="n"/>
      <c r="H39" s="1370" t="n"/>
      <c r="I39" s="1369">
        <f>G39+H39</f>
        <v/>
      </c>
      <c r="J39" s="1369" t="n"/>
      <c r="K39" s="1369" t="n"/>
      <c r="L39" s="1369" t="n"/>
      <c r="M39" s="1369" t="n"/>
      <c r="N39" s="1371">
        <f>J39+I39+F39+E39+L39+M39+K39</f>
        <v/>
      </c>
      <c r="O39" s="1372">
        <f>N39+D39</f>
        <v/>
      </c>
      <c r="P39" s="550">
        <f>'Cumul annuel'!A39</f>
        <v/>
      </c>
      <c r="Q39" s="1373">
        <f>D39</f>
        <v/>
      </c>
      <c r="R39" s="1025" t="n">
        <v>200000</v>
      </c>
      <c r="S39" s="1376">
        <f>Q39-R39</f>
        <v/>
      </c>
      <c r="T39" s="560">
        <f>Q39/R39-1</f>
        <v/>
      </c>
      <c r="U39" s="1373" t="n">
        <v>0</v>
      </c>
      <c r="V39" s="1376">
        <f>Q39-U39</f>
        <v/>
      </c>
      <c r="W39" s="560">
        <f>(Q39/U39-1)</f>
        <v/>
      </c>
      <c r="X39" s="561" t="n"/>
      <c r="Y39" s="545" t="n"/>
    </row>
    <row r="40" ht="15" customHeight="1">
      <c r="A40" s="550">
        <f>'Cumul annuel'!A40</f>
        <v/>
      </c>
      <c r="B40" s="1321" t="n"/>
      <c r="C40" s="1435">
        <f>D40-B40</f>
        <v/>
      </c>
      <c r="D40" s="1436" t="n"/>
      <c r="E40" s="1369" t="n"/>
      <c r="F40" s="1369" t="n"/>
      <c r="G40" s="1370" t="n"/>
      <c r="H40" s="1370" t="n"/>
      <c r="I40" s="1369">
        <f>G40+H40</f>
        <v/>
      </c>
      <c r="J40" s="1369" t="n"/>
      <c r="K40" s="1369" t="n"/>
      <c r="L40" s="1369" t="n"/>
      <c r="M40" s="1369" t="n"/>
      <c r="N40" s="1371">
        <f>J40+I40+F40+E40+L40+M40+K40</f>
        <v/>
      </c>
      <c r="O40" s="1372">
        <f>N40+D40</f>
        <v/>
      </c>
      <c r="P40" s="550">
        <f>'Cumul annuel'!A40</f>
        <v/>
      </c>
      <c r="Q40" s="1373">
        <f>D40</f>
        <v/>
      </c>
      <c r="R40" s="1025" t="n">
        <v>0</v>
      </c>
      <c r="S40" s="1376">
        <f>Q40-R40</f>
        <v/>
      </c>
      <c r="T40" s="560">
        <f>Q40/R40-1</f>
        <v/>
      </c>
      <c r="U40" s="1373" t="n">
        <v>0</v>
      </c>
      <c r="V40" s="1375">
        <f>Q40-U40</f>
        <v/>
      </c>
      <c r="W40" s="560">
        <f>(Q40/U40-1)</f>
        <v/>
      </c>
      <c r="X40" s="561" t="n"/>
    </row>
    <row r="41" ht="15" customHeight="1">
      <c r="A41" s="550">
        <f>'Cumul annuel'!A41</f>
        <v/>
      </c>
      <c r="B41" s="1321" t="n"/>
      <c r="C41" s="1435">
        <f>D41-B41</f>
        <v/>
      </c>
      <c r="D41" s="1436" t="n"/>
      <c r="E41" s="1369" t="n"/>
      <c r="F41" s="1369" t="n"/>
      <c r="G41" s="1370" t="n"/>
      <c r="H41" s="1370" t="n"/>
      <c r="I41" s="1369">
        <f>G41+H41</f>
        <v/>
      </c>
      <c r="J41" s="1369" t="n"/>
      <c r="K41" s="1369" t="n"/>
      <c r="L41" s="1369" t="n"/>
      <c r="M41" s="1369" t="n"/>
      <c r="N41" s="1371">
        <f>J41+I41+F41+E41+L41+M41+K41</f>
        <v/>
      </c>
      <c r="O41" s="1372">
        <f>N41+D41</f>
        <v/>
      </c>
      <c r="P41" s="550">
        <f>'Cumul annuel'!A41</f>
        <v/>
      </c>
      <c r="Q41" s="1373">
        <f>D41</f>
        <v/>
      </c>
      <c r="R41" s="1025" t="n">
        <v>0</v>
      </c>
      <c r="S41" s="1375">
        <f>Q41-R41</f>
        <v/>
      </c>
      <c r="T41" s="560">
        <f>Q41/R41-1</f>
        <v/>
      </c>
      <c r="U41" s="1373" t="n">
        <v>0</v>
      </c>
      <c r="V41" s="1375">
        <f>Q41-U41</f>
        <v/>
      </c>
      <c r="W41" s="560">
        <f>(Q41/U41-1)</f>
        <v/>
      </c>
      <c r="X41" s="561" t="n"/>
    </row>
    <row r="42" ht="15" customHeight="1">
      <c r="A42" s="550">
        <f>'Cumul annuel'!A42</f>
        <v/>
      </c>
      <c r="B42" s="1435" t="n"/>
      <c r="C42" s="1435">
        <f>D42-B42</f>
        <v/>
      </c>
      <c r="D42" s="1436" t="n"/>
      <c r="E42" s="1369" t="n"/>
      <c r="F42" s="1369" t="n"/>
      <c r="G42" s="1370" t="n"/>
      <c r="H42" s="1370" t="n"/>
      <c r="I42" s="1369">
        <f>G42+H42</f>
        <v/>
      </c>
      <c r="J42" s="1369" t="n"/>
      <c r="K42" s="1369" t="n"/>
      <c r="L42" s="1369" t="n"/>
      <c r="M42" s="1369" t="n"/>
      <c r="N42" s="1371">
        <f>J42+I42+F42+E42+L42+M42+K42</f>
        <v/>
      </c>
      <c r="O42" s="1372">
        <f>N42+D42</f>
        <v/>
      </c>
      <c r="P42" s="550">
        <f>'Cumul annuel'!A42</f>
        <v/>
      </c>
      <c r="Q42" s="1373">
        <f>D42</f>
        <v/>
      </c>
      <c r="R42" s="1025" t="n">
        <v>1000000</v>
      </c>
      <c r="S42" s="1375">
        <f>Q42-R42</f>
        <v/>
      </c>
      <c r="T42" s="560">
        <f>Q42/R42-1</f>
        <v/>
      </c>
      <c r="U42" s="1373" t="n">
        <v>858130</v>
      </c>
      <c r="V42" s="1375">
        <f>Q42-U42</f>
        <v/>
      </c>
      <c r="W42" s="560">
        <f>(Q42/U42-1)</f>
        <v/>
      </c>
      <c r="X42" s="561" t="n"/>
    </row>
    <row r="43" ht="15" customHeight="1">
      <c r="A43" s="550">
        <f>'Cumul annuel'!A43</f>
        <v/>
      </c>
      <c r="B43" s="1321" t="n"/>
      <c r="C43" s="1435">
        <f>D43-B43</f>
        <v/>
      </c>
      <c r="D43" s="1436" t="n">
        <v>-6826765</v>
      </c>
      <c r="E43" s="1369" t="n"/>
      <c r="F43" s="1369" t="n"/>
      <c r="G43" s="1370" t="n"/>
      <c r="H43" s="1370" t="n"/>
      <c r="I43" s="1369">
        <f>G43+H43</f>
        <v/>
      </c>
      <c r="J43" s="1369" t="n"/>
      <c r="K43" s="1369" t="n"/>
      <c r="L43" s="1369" t="n"/>
      <c r="M43" s="1369" t="n"/>
      <c r="N43" s="1371">
        <f>J43+I43+F43+E43+L43+M43+K43</f>
        <v/>
      </c>
      <c r="O43" s="1372">
        <f>N43+D43</f>
        <v/>
      </c>
      <c r="P43" s="550">
        <f>'Cumul annuel'!A43</f>
        <v/>
      </c>
      <c r="Q43" s="1373">
        <f>D43</f>
        <v/>
      </c>
      <c r="R43" s="1025" t="n">
        <v>0</v>
      </c>
      <c r="S43" s="1375">
        <f>Q43-R43</f>
        <v/>
      </c>
      <c r="T43" s="560">
        <f>Q43/R43-1</f>
        <v/>
      </c>
      <c r="U43" s="1373" t="n">
        <v>0</v>
      </c>
      <c r="V43" s="1375">
        <f>Q43-U43</f>
        <v/>
      </c>
      <c r="W43" s="560">
        <f>(Q43/U43-1)</f>
        <v/>
      </c>
      <c r="X43" s="561" t="n"/>
    </row>
    <row r="44" ht="15" customFormat="1" customHeight="1" s="564">
      <c r="A44" s="550">
        <f>'Cumul annuel'!A44</f>
        <v/>
      </c>
      <c r="B44" s="1321" t="n"/>
      <c r="C44" s="1435">
        <f>D44-B44</f>
        <v/>
      </c>
      <c r="D44" s="1436" t="n">
        <v>117866929</v>
      </c>
      <c r="E44" s="1369" t="n"/>
      <c r="F44" s="1369" t="n"/>
      <c r="G44" s="1370" t="n"/>
      <c r="H44" s="1370" t="n"/>
      <c r="I44" s="1369">
        <f>G44+H44</f>
        <v/>
      </c>
      <c r="J44" s="1369" t="n"/>
      <c r="K44" s="1369" t="n"/>
      <c r="L44" s="1369" t="n"/>
      <c r="M44" s="1369" t="n"/>
      <c r="N44" s="1371">
        <f>J44+I44+F44+E44+L44+M44+K44</f>
        <v/>
      </c>
      <c r="O44" s="1372">
        <f>N44+D44</f>
        <v/>
      </c>
      <c r="P44" s="550">
        <f>'Cumul annuel'!A44</f>
        <v/>
      </c>
      <c r="Q44" s="1373">
        <f>D44</f>
        <v/>
      </c>
      <c r="R44" s="1025" t="n">
        <v>0</v>
      </c>
      <c r="S44" s="1376">
        <f>Q44-R44</f>
        <v/>
      </c>
      <c r="T44" s="560">
        <f>Q44/R44-1</f>
        <v/>
      </c>
      <c r="U44" s="1373" t="n">
        <v>0</v>
      </c>
      <c r="V44" s="1376">
        <f>Q44-U44</f>
        <v/>
      </c>
      <c r="W44" s="560">
        <f>(Q44/U44-1)</f>
        <v/>
      </c>
      <c r="X44" s="561" t="n"/>
      <c r="Y44" s="545" t="n"/>
    </row>
    <row r="45" ht="15" customHeight="1">
      <c r="A45" s="550">
        <f>'Cumul annuel'!A45</f>
        <v/>
      </c>
      <c r="B45" s="1321" t="n"/>
      <c r="C45" s="1435">
        <f>D45-B45</f>
        <v/>
      </c>
      <c r="D45" s="1436" t="n"/>
      <c r="E45" s="1369" t="n"/>
      <c r="F45" s="1369" t="n"/>
      <c r="G45" s="1370" t="n"/>
      <c r="H45" s="1370" t="n"/>
      <c r="I45" s="1369">
        <f>G45+H45</f>
        <v/>
      </c>
      <c r="J45" s="1369" t="n"/>
      <c r="K45" s="1369" t="n"/>
      <c r="L45" s="1369" t="n"/>
      <c r="M45" s="1369" t="n"/>
      <c r="N45" s="1371">
        <f>J45+I45+F45+E45+L45+M45+K45</f>
        <v/>
      </c>
      <c r="O45" s="1372">
        <f>N45+D45</f>
        <v/>
      </c>
      <c r="P45" s="550">
        <f>'Cumul annuel'!A45</f>
        <v/>
      </c>
      <c r="Q45" s="1373">
        <f>D45</f>
        <v/>
      </c>
      <c r="R45" s="1025" t="n">
        <v>47222222.22222222</v>
      </c>
      <c r="S45" s="1376">
        <f>Q45-R45</f>
        <v/>
      </c>
      <c r="T45" s="560">
        <f>Q45/R45-1</f>
        <v/>
      </c>
      <c r="U45" s="1373" t="n">
        <v>34255444</v>
      </c>
      <c r="V45" s="1376">
        <f>Q45-U45</f>
        <v/>
      </c>
      <c r="W45" s="560">
        <f>(Q45/U45-1)</f>
        <v/>
      </c>
      <c r="X45" s="561" t="n"/>
    </row>
    <row r="46">
      <c r="A46" s="550">
        <f>'Cumul annuel'!A46</f>
        <v/>
      </c>
      <c r="B46" s="1321" t="n"/>
      <c r="C46" s="1435">
        <f>D46-B46</f>
        <v/>
      </c>
      <c r="D46" s="1436" t="n"/>
      <c r="E46" s="1369" t="n"/>
      <c r="F46" s="1369" t="n"/>
      <c r="G46" s="1370" t="n"/>
      <c r="H46" s="1370" t="n"/>
      <c r="I46" s="1369">
        <f>G46+H46</f>
        <v/>
      </c>
      <c r="J46" s="1369" t="n"/>
      <c r="K46" s="1369" t="n"/>
      <c r="L46" s="1369" t="n"/>
      <c r="M46" s="1369" t="n"/>
      <c r="N46" s="1371">
        <f>J46+I46+F46+E46+L46+M46+K46</f>
        <v/>
      </c>
      <c r="O46" s="1372">
        <f>N46+D46</f>
        <v/>
      </c>
      <c r="P46" s="550">
        <f>'Cumul annuel'!A46</f>
        <v/>
      </c>
      <c r="Q46" s="1373">
        <f>D46</f>
        <v/>
      </c>
      <c r="R46" s="1025" t="n">
        <v>0</v>
      </c>
      <c r="S46" s="1376">
        <f>Q46-R46</f>
        <v/>
      </c>
      <c r="T46" s="560">
        <f>Q46/R46-1</f>
        <v/>
      </c>
      <c r="U46" s="1373" t="n">
        <v>0</v>
      </c>
      <c r="V46" s="1376">
        <f>Q46-U46</f>
        <v/>
      </c>
      <c r="W46" s="560">
        <f>(Q46/U46-1)</f>
        <v/>
      </c>
      <c r="X46" s="561" t="n"/>
    </row>
    <row r="47" ht="15" customHeight="1">
      <c r="A47" s="550">
        <f>'Cumul annuel'!A47</f>
        <v/>
      </c>
      <c r="B47" s="1321" t="n"/>
      <c r="C47" s="1435">
        <f>D47-B47</f>
        <v/>
      </c>
      <c r="D47" s="1436" t="n">
        <v>18000000</v>
      </c>
      <c r="E47" s="1369" t="n"/>
      <c r="F47" s="1369" t="n"/>
      <c r="G47" s="1370" t="n"/>
      <c r="H47" s="1370" t="n"/>
      <c r="I47" s="1369">
        <f>G47+H47</f>
        <v/>
      </c>
      <c r="J47" s="1369" t="n"/>
      <c r="K47" s="1369" t="n"/>
      <c r="L47" s="1369" t="n"/>
      <c r="M47" s="1369" t="n"/>
      <c r="N47" s="1371">
        <f>J47+I47+F47+E47+L47+M47+K47</f>
        <v/>
      </c>
      <c r="O47" s="1372">
        <f>N47+D47</f>
        <v/>
      </c>
      <c r="P47" s="550">
        <f>'Cumul annuel'!A47</f>
        <v/>
      </c>
      <c r="Q47" s="1373">
        <f>D47</f>
        <v/>
      </c>
      <c r="R47" s="1025" t="n">
        <v>17916666.66666667</v>
      </c>
      <c r="S47" s="1370">
        <f>Q47-R47</f>
        <v/>
      </c>
      <c r="T47" s="560">
        <f>Q47/R47-1</f>
        <v/>
      </c>
      <c r="U47" s="1373" t="n">
        <v>18000000</v>
      </c>
      <c r="V47" s="1370">
        <f>Q47-U47</f>
        <v/>
      </c>
      <c r="W47" s="560">
        <f>(Q47/U47-1)</f>
        <v/>
      </c>
      <c r="X47" s="561" t="n"/>
    </row>
    <row r="48" ht="15" customHeight="1">
      <c r="A48" s="550">
        <f>'Cumul annuel'!A48</f>
        <v/>
      </c>
      <c r="B48" s="1321" t="n"/>
      <c r="C48" s="1435">
        <f>D48-B48</f>
        <v/>
      </c>
      <c r="D48" s="1436" t="n"/>
      <c r="E48" s="1369" t="n"/>
      <c r="F48" s="1369" t="n"/>
      <c r="G48" s="1370" t="n"/>
      <c r="H48" s="1370" t="n"/>
      <c r="I48" s="1369">
        <f>G48+H48</f>
        <v/>
      </c>
      <c r="J48" s="1369" t="n"/>
      <c r="K48" s="1369" t="n"/>
      <c r="L48" s="1369" t="n"/>
      <c r="M48" s="1369" t="n"/>
      <c r="N48" s="1371">
        <f>J48+I48+F48+E48+L48+M48+K48</f>
        <v/>
      </c>
      <c r="O48" s="1372">
        <f>N48+D48</f>
        <v/>
      </c>
      <c r="P48" s="550">
        <f>'Cumul annuel'!A48</f>
        <v/>
      </c>
      <c r="Q48" s="1373">
        <f>D48</f>
        <v/>
      </c>
      <c r="R48" s="1025" t="n">
        <v>400000</v>
      </c>
      <c r="S48" s="1370">
        <f>Q48-R48</f>
        <v/>
      </c>
      <c r="T48" s="560">
        <f>Q48/R48-1</f>
        <v/>
      </c>
      <c r="U48" s="1373" t="n">
        <v>0</v>
      </c>
      <c r="V48" s="1370">
        <f>Q48-U48</f>
        <v/>
      </c>
      <c r="W48" s="560">
        <f>(Q48/U48-1)</f>
        <v/>
      </c>
      <c r="X48" s="561" t="n"/>
    </row>
    <row r="49" ht="15" customHeight="1">
      <c r="A49" s="550">
        <f>'Cumul annuel'!A49</f>
        <v/>
      </c>
      <c r="B49" s="1321" t="n">
        <v>45376250</v>
      </c>
      <c r="C49" s="1435">
        <f>D49-B49</f>
        <v/>
      </c>
      <c r="D49" s="1436" t="n">
        <v>550678201</v>
      </c>
      <c r="E49" s="1369" t="n"/>
      <c r="F49" s="1369" t="n"/>
      <c r="G49" s="1370" t="n"/>
      <c r="H49" s="1370" t="n"/>
      <c r="I49" s="1369">
        <f>G49+H49</f>
        <v/>
      </c>
      <c r="J49" s="1369" t="n"/>
      <c r="K49" s="1369" t="n">
        <v>64000000</v>
      </c>
      <c r="L49" s="1369" t="n">
        <v>2500000</v>
      </c>
      <c r="M49" s="1369" t="n"/>
      <c r="N49" s="1371">
        <f>J49+I49+F49+E49+L49+M49+K49</f>
        <v/>
      </c>
      <c r="O49" s="1372">
        <f>N49+D49</f>
        <v/>
      </c>
      <c r="P49" s="550">
        <f>'Cumul annuel'!A49</f>
        <v/>
      </c>
      <c r="Q49" s="1373">
        <f>D49</f>
        <v/>
      </c>
      <c r="R49" s="1025" t="n">
        <v>191333333.3333333</v>
      </c>
      <c r="S49" s="1375">
        <f>Q49-R49</f>
        <v/>
      </c>
      <c r="T49" s="560">
        <f>Q49/R49-1</f>
        <v/>
      </c>
      <c r="U49" s="1373" t="n">
        <v>0</v>
      </c>
      <c r="V49" s="1376">
        <f>Q49-U49</f>
        <v/>
      </c>
      <c r="W49" s="560">
        <f>(Q49/U49-1)</f>
        <v/>
      </c>
      <c r="X49" s="561" t="n"/>
    </row>
    <row r="50" ht="15" customHeight="1" thickBot="1">
      <c r="A50" s="550">
        <f>'Cumul annuel'!A50</f>
        <v/>
      </c>
      <c r="B50" s="1323" t="n"/>
      <c r="C50" s="1435">
        <f>D50-B50</f>
        <v/>
      </c>
      <c r="D50" s="1438" t="n">
        <v>1235507</v>
      </c>
      <c r="E50" s="1379" t="n"/>
      <c r="F50" s="1379" t="n"/>
      <c r="G50" s="1380" t="n"/>
      <c r="H50" s="1380" t="n"/>
      <c r="I50" s="1369">
        <f>G50+H50</f>
        <v/>
      </c>
      <c r="J50" s="1379" t="n"/>
      <c r="K50" s="1379" t="n"/>
      <c r="L50" s="1379" t="n"/>
      <c r="M50" s="1379" t="n"/>
      <c r="N50" s="1371">
        <f>J50+I50+F50+E50+L50+M50+K50</f>
        <v/>
      </c>
      <c r="O50" s="1381">
        <f>N50+D50</f>
        <v/>
      </c>
      <c r="P50" s="550">
        <f>'Cumul annuel'!A50</f>
        <v/>
      </c>
      <c r="Q50" s="1373">
        <f>D50</f>
        <v/>
      </c>
      <c r="R50" s="1025" t="n">
        <v>0</v>
      </c>
      <c r="S50" s="1375">
        <f>Q50-R50</f>
        <v/>
      </c>
      <c r="T50" s="560">
        <f>Q50/R50-1</f>
        <v/>
      </c>
      <c r="U50" s="1373" t="n">
        <v>0</v>
      </c>
      <c r="V50" s="1375">
        <f>Q50-U50</f>
        <v/>
      </c>
      <c r="W50" s="560">
        <f>(Q50/U50-1)</f>
        <v/>
      </c>
      <c r="X50" s="561" t="n"/>
    </row>
    <row r="51" ht="15.75" customHeight="1" thickBot="1">
      <c r="A51" s="571" t="inlineStr">
        <is>
          <t xml:space="preserve">CA TOTAL </t>
        </is>
      </c>
      <c r="B51" s="1382">
        <f>SUM(B4:B50)</f>
        <v/>
      </c>
      <c r="C51" s="1439">
        <f>SUM(C4:C50)</f>
        <v/>
      </c>
      <c r="D51" s="1440">
        <f>SUM(D4:D50)</f>
        <v/>
      </c>
      <c r="E51" s="1441">
        <f>SUM(E4:E50)</f>
        <v/>
      </c>
      <c r="F51" s="1441">
        <f>SUM(F5:F50)</f>
        <v/>
      </c>
      <c r="G51" s="1442">
        <f>SUM(G5:G50)</f>
        <v/>
      </c>
      <c r="H51" s="1442">
        <f>SUM(H5:H50)</f>
        <v/>
      </c>
      <c r="I51" s="1441">
        <f>SUM(I5:I50)</f>
        <v/>
      </c>
      <c r="J51" s="1441">
        <f>SUM(J5:J50)</f>
        <v/>
      </c>
      <c r="K51" s="1441">
        <f>SUM(K5:K50)</f>
        <v/>
      </c>
      <c r="L51" s="1441">
        <f>SUM(L5:L50)</f>
        <v/>
      </c>
      <c r="M51" s="1441">
        <f>SUM(M5:M50)</f>
        <v/>
      </c>
      <c r="N51" s="1443">
        <f>J51+I51+F51+E51+L51+M51+K51</f>
        <v/>
      </c>
      <c r="O51" s="1444">
        <f>N51+D51</f>
        <v/>
      </c>
      <c r="P51" s="579" t="inlineStr">
        <is>
          <t xml:space="preserve">ACTIVITE BASE </t>
        </is>
      </c>
      <c r="Q51" s="1445">
        <f>SUM(Q4:Q50)</f>
        <v/>
      </c>
      <c r="R51" s="1445">
        <f>SUM(R4:R50)</f>
        <v/>
      </c>
      <c r="S51" s="1446">
        <f>Q51-R51</f>
        <v/>
      </c>
      <c r="T51" s="583">
        <f>Q51/R51-1</f>
        <v/>
      </c>
      <c r="U51" s="1385">
        <f>SUM(U4:U50)</f>
        <v/>
      </c>
      <c r="V51" s="1386">
        <f>Q51-U51</f>
        <v/>
      </c>
      <c r="W51" s="583">
        <f>(Q51/U51-1)</f>
        <v/>
      </c>
      <c r="X51" s="585" t="n"/>
    </row>
    <row r="52" ht="15" customHeight="1" thickBot="1">
      <c r="A52" s="586" t="inlineStr">
        <is>
          <t>Rétrocession</t>
        </is>
      </c>
      <c r="B52" s="1387" t="n"/>
      <c r="C52" s="1447" t="n"/>
      <c r="D52" s="1447" t="n"/>
      <c r="E52" s="1387" t="n"/>
      <c r="F52" s="1387" t="n"/>
      <c r="G52" s="1387" t="n"/>
      <c r="H52" s="1387" t="n"/>
      <c r="I52" s="1387" t="n"/>
      <c r="J52" s="1391" t="n"/>
      <c r="K52" s="1392" t="n"/>
      <c r="L52" s="1393" t="n"/>
      <c r="M52" s="1393" t="n"/>
      <c r="N52" s="1394">
        <f>J52+I52+F52+E52</f>
        <v/>
      </c>
      <c r="O52" s="1359" t="n"/>
      <c r="P52" s="594" t="inlineStr">
        <is>
          <t xml:space="preserve">Rétrocessions </t>
        </is>
      </c>
      <c r="Q52" s="719" t="n"/>
      <c r="R52" s="1448" t="n"/>
      <c r="S52" s="595" t="n"/>
      <c r="T52" s="596" t="n"/>
      <c r="U52" s="1449" t="n"/>
      <c r="V52" s="595" t="n"/>
      <c r="W52" s="596" t="n"/>
      <c r="X52" s="596" t="n"/>
    </row>
    <row r="53" ht="16" customHeight="1" thickBot="1">
      <c r="A53" s="597" t="inlineStr">
        <is>
          <t>Taux Rétrocession</t>
        </is>
      </c>
      <c r="B53" s="1398" t="n"/>
      <c r="C53" s="1450" t="n"/>
      <c r="D53" s="1450" t="n"/>
      <c r="E53" s="1451">
        <f>E52/E51</f>
        <v/>
      </c>
      <c r="F53" s="1402">
        <f>F52/F51</f>
        <v/>
      </c>
      <c r="G53" s="1402" t="n"/>
      <c r="H53" s="1402" t="n"/>
      <c r="I53" s="1402">
        <f>I52/I51</f>
        <v/>
      </c>
      <c r="J53" s="1451">
        <f>J52/J51</f>
        <v/>
      </c>
      <c r="K53" s="1403" t="n"/>
      <c r="L53" s="1403" t="n"/>
      <c r="M53" s="1403" t="n"/>
      <c r="N53" s="1404">
        <f>N52/N51</f>
        <v/>
      </c>
      <c r="O53" s="1359" t="n"/>
      <c r="P53" s="604" t="inlineStr">
        <is>
          <t>IMAR</t>
        </is>
      </c>
      <c r="Q53" s="1406">
        <f>E52</f>
        <v/>
      </c>
      <c r="R53" s="1452" t="n"/>
      <c r="S53" s="1376">
        <f>Q53-R53</f>
        <v/>
      </c>
      <c r="T53" s="606">
        <f>Q53/R53-1</f>
        <v/>
      </c>
      <c r="U53" s="1406" t="n"/>
      <c r="V53" s="1407">
        <f>Q53-U53</f>
        <v/>
      </c>
      <c r="W53" s="606">
        <f>(Q53/U53-1)</f>
        <v/>
      </c>
      <c r="X53" s="608" t="n"/>
    </row>
    <row r="54" ht="19.5" customFormat="1" customHeight="1" s="1359" thickBot="1">
      <c r="A54" s="609" t="inlineStr">
        <is>
          <t>TOTAL Après rétrocession</t>
        </is>
      </c>
      <c r="B54" s="1453" t="n"/>
      <c r="C54" s="611" t="n"/>
      <c r="D54" s="1454">
        <f>D52+D51</f>
        <v/>
      </c>
      <c r="E54" s="1454">
        <f>E51-E52</f>
        <v/>
      </c>
      <c r="F54" s="1454">
        <f>F51-F52</f>
        <v/>
      </c>
      <c r="G54" s="1454" t="n"/>
      <c r="H54" s="1454" t="n"/>
      <c r="I54" s="1454">
        <f>I51-I52</f>
        <v/>
      </c>
      <c r="J54" s="1454">
        <f>J51-J52</f>
        <v/>
      </c>
      <c r="K54" s="1455">
        <f>K51</f>
        <v/>
      </c>
      <c r="L54" s="1455">
        <f>L51</f>
        <v/>
      </c>
      <c r="M54" s="1455">
        <f>M51</f>
        <v/>
      </c>
      <c r="N54" s="1456">
        <f>SUM(D54:M54)</f>
        <v/>
      </c>
      <c r="P54" s="617" t="inlineStr">
        <is>
          <t>HINT</t>
        </is>
      </c>
      <c r="Q54" s="1413">
        <f>F52</f>
        <v/>
      </c>
      <c r="R54" s="1025" t="n"/>
      <c r="S54" s="1375">
        <f>Q54-R54</f>
        <v/>
      </c>
      <c r="T54" s="614">
        <f>Q54/R54-1</f>
        <v/>
      </c>
      <c r="U54" s="1413" t="n"/>
      <c r="V54" s="1457">
        <f>Q54-U54</f>
        <v/>
      </c>
      <c r="W54" s="614">
        <f>(Q54/U54-1)</f>
        <v/>
      </c>
      <c r="X54" s="1414" t="n"/>
    </row>
    <row r="55" ht="15.5" customHeight="1">
      <c r="M55" s="1359" t="n"/>
      <c r="N55" s="1359" t="n"/>
      <c r="O55" s="1359" t="n"/>
      <c r="P55" s="617" t="inlineStr">
        <is>
          <t>AER</t>
        </is>
      </c>
      <c r="Q55" s="1413">
        <f>I52</f>
        <v/>
      </c>
      <c r="R55" s="1025" t="n"/>
      <c r="S55" s="1376">
        <f>Q55-R55</f>
        <v/>
      </c>
      <c r="T55" s="606">
        <f>Q55/R55-1</f>
        <v/>
      </c>
      <c r="U55" s="1413" t="n"/>
      <c r="V55" s="1457">
        <f>Q55-U55</f>
        <v/>
      </c>
      <c r="W55" s="614">
        <f>(Q55/U55-1)</f>
        <v/>
      </c>
      <c r="X55" s="561" t="n"/>
    </row>
    <row r="56" ht="19" customFormat="1" customHeight="1" s="1359" thickBot="1">
      <c r="A56" s="545" t="n"/>
      <c r="C56" s="690" t="n"/>
      <c r="D56" s="1415" t="n"/>
      <c r="E56" s="545" t="n"/>
      <c r="O56" s="1416" t="n"/>
      <c r="P56" s="621" t="inlineStr">
        <is>
          <t>EMAR</t>
        </is>
      </c>
      <c r="Q56" s="1418">
        <f>J52</f>
        <v/>
      </c>
      <c r="R56" s="1025" t="n"/>
      <c r="S56" s="1375">
        <f>Q56-R56</f>
        <v/>
      </c>
      <c r="T56" s="614">
        <f>Q56/R56-1</f>
        <v/>
      </c>
      <c r="U56" s="1418" t="n"/>
      <c r="V56" s="1407">
        <f>Q56-U56</f>
        <v/>
      </c>
      <c r="W56" s="606">
        <f>(Q56/U56-1)</f>
        <v/>
      </c>
      <c r="X56" s="1419" t="n"/>
    </row>
    <row r="57" ht="19" customHeight="1" thickBot="1">
      <c r="A57" s="639" t="n"/>
      <c r="C57" s="1420">
        <f>B51</f>
        <v/>
      </c>
      <c r="D57" s="777">
        <f>C57/$C$60</f>
        <v/>
      </c>
      <c r="E57" s="773" t="inlineStr">
        <is>
          <t>Loyer</t>
        </is>
      </c>
      <c r="M57" s="1359" t="n"/>
      <c r="N57" s="1359" t="n"/>
      <c r="O57" s="1359" t="n"/>
      <c r="P57" s="1421" t="inlineStr">
        <is>
          <t>ACTIVITE O&amp;G</t>
        </is>
      </c>
      <c r="Q57" s="1422">
        <f>Q51+Q53+Q54+Q55+Q56</f>
        <v/>
      </c>
      <c r="R57" s="1422">
        <f>R51+R53+R54+R55+R56</f>
        <v/>
      </c>
      <c r="S57" s="1424">
        <f>S51+S53+S54+S55+S56</f>
        <v/>
      </c>
      <c r="T57" s="627">
        <f>Q57/R57-1</f>
        <v/>
      </c>
      <c r="U57" s="1421">
        <f>U51+U52</f>
        <v/>
      </c>
      <c r="V57" s="1458">
        <f>V51+V53+V54+V55+V56</f>
        <v/>
      </c>
      <c r="W57" s="629">
        <f>(Q57/U57-1)</f>
        <v/>
      </c>
      <c r="X57" s="1425" t="n"/>
    </row>
    <row r="58" ht="16" customHeight="1" thickBot="1">
      <c r="C58" s="1426">
        <f>C51</f>
        <v/>
      </c>
      <c r="D58" s="778">
        <f>C58/$C$60</f>
        <v/>
      </c>
      <c r="E58" s="775" t="inlineStr">
        <is>
          <t>LOGP</t>
        </is>
      </c>
      <c r="M58" s="1359" t="n"/>
      <c r="N58" s="1359" t="n"/>
      <c r="O58" s="1359" t="n"/>
      <c r="P58" s="1317" t="inlineStr">
        <is>
          <t>R26</t>
        </is>
      </c>
      <c r="Q58" s="1006" t="n"/>
      <c r="R58" s="845" t="inlineStr">
        <is>
          <t>Variation Réel 26 / B26</t>
        </is>
      </c>
      <c r="S58" s="1010" t="n"/>
      <c r="T58" s="1010" t="n"/>
      <c r="U58" s="1318" t="inlineStr">
        <is>
          <t>Variation Réel 26 / Réel 25</t>
        </is>
      </c>
      <c r="V58" s="1010" t="n"/>
      <c r="W58" s="1011" t="n"/>
    </row>
    <row r="59">
      <c r="C59" s="1426">
        <f>D52</f>
        <v/>
      </c>
      <c r="D59" s="778">
        <f>C59/$C$60</f>
        <v/>
      </c>
      <c r="E59" s="775" t="inlineStr">
        <is>
          <t>Rétrocession</t>
        </is>
      </c>
      <c r="M59" s="1359" t="n"/>
      <c r="N59" s="1359" t="n"/>
      <c r="O59" s="1359" t="n"/>
      <c r="P59" s="631" t="n"/>
    </row>
    <row r="60" ht="18.5" customHeight="1">
      <c r="C60" s="1426">
        <f>D54</f>
        <v/>
      </c>
      <c r="D60" s="778">
        <f>C60/$C$60</f>
        <v/>
      </c>
      <c r="E60" s="775" t="inlineStr">
        <is>
          <t xml:space="preserve">CAP total </t>
        </is>
      </c>
      <c r="F60" s="1359">
        <f>F59/4</f>
        <v/>
      </c>
      <c r="M60" s="1359" t="n"/>
      <c r="N60" s="1359" t="n"/>
      <c r="O60" s="1359" t="n"/>
      <c r="P60" s="631" t="n"/>
      <c r="R60" s="1427" t="n">
        <v>687285000</v>
      </c>
    </row>
    <row r="61" ht="15" customHeight="1" thickBot="1">
      <c r="C61" s="776" t="n"/>
      <c r="D61" s="779" t="n"/>
      <c r="E61" s="882" t="n"/>
      <c r="M61" s="1359" t="n"/>
      <c r="N61" s="1359" t="n"/>
      <c r="O61" s="1359" t="n"/>
      <c r="P61" s="631" t="n"/>
    </row>
    <row r="62">
      <c r="M62" s="1359" t="n"/>
      <c r="N62" s="1359" t="n"/>
      <c r="O62" s="1359" t="n"/>
      <c r="P62" s="631" t="n"/>
    </row>
    <row r="63">
      <c r="M63" s="1359" t="n"/>
      <c r="N63" s="1359" t="n"/>
      <c r="O63" s="1359" t="n"/>
      <c r="P63" s="631" t="n"/>
      <c r="R63" s="1428">
        <f>R60-R57</f>
        <v/>
      </c>
    </row>
    <row r="64">
      <c r="M64" s="1359" t="n"/>
      <c r="N64" s="1359" t="n"/>
      <c r="O64" s="1359" t="n"/>
      <c r="P64" s="631" t="n"/>
    </row>
    <row r="65">
      <c r="M65" s="1359" t="n"/>
      <c r="N65" s="1359" t="n"/>
      <c r="O65" s="1359" t="n"/>
      <c r="P65" s="631" t="n"/>
    </row>
    <row r="66">
      <c r="M66" s="1359" t="n"/>
      <c r="N66" s="1359" t="n"/>
      <c r="O66" s="1359" t="n"/>
      <c r="P66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portrait" paperSize="8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Z200"/>
  <sheetViews>
    <sheetView topLeftCell="A39" zoomScale="86" zoomScaleNormal="86" workbookViewId="0">
      <pane xSplit="1" topLeftCell="Q1" activePane="topRight" state="frozen"/>
      <selection pane="topRight" activeCell="X22" sqref="X22"/>
    </sheetView>
  </sheetViews>
  <sheetFormatPr baseColWidth="10" defaultRowHeight="14.5"/>
  <cols>
    <col width="34.81640625" customWidth="1" min="1" max="1"/>
    <col width="16" customWidth="1" style="1003" min="2" max="2"/>
    <col width="15.54296875" customWidth="1" min="3" max="3"/>
    <col width="19.1796875" bestFit="1" customWidth="1" min="4" max="4"/>
    <col width="17.7265625" bestFit="1" customWidth="1" min="5" max="5"/>
    <col width="16.1796875" bestFit="1" customWidth="1" style="1003" min="6" max="6"/>
    <col width="14.7265625" customWidth="1" style="1003" min="7" max="7"/>
    <col width="13.1796875" bestFit="1" customWidth="1" style="1003" min="8" max="8"/>
    <col width="19.1796875" bestFit="1" customWidth="1" style="1003" min="9" max="9"/>
    <col width="16.1796875" bestFit="1" customWidth="1" style="1003" min="10" max="10"/>
    <col width="17.7265625" customWidth="1" style="1003" min="11" max="11"/>
    <col width="16.26953125" customWidth="1" style="1003" min="12" max="12"/>
    <col width="19.81640625" customWidth="1" min="13" max="13"/>
    <col width="35.54296875" customWidth="1" min="14" max="14"/>
    <col width="18.26953125" customWidth="1" min="15" max="15"/>
    <col width="36.26953125" customWidth="1" min="16" max="16"/>
    <col width="19.7265625" bestFit="1" customWidth="1" min="17" max="17"/>
    <col width="19.1796875" bestFit="1" customWidth="1" min="18" max="18"/>
    <col width="19.54296875" customWidth="1" style="299" min="19" max="19"/>
    <col width="14.453125" bestFit="1" customWidth="1" min="20" max="20"/>
    <col width="19.1796875" bestFit="1" customWidth="1" min="21" max="21"/>
    <col width="19.1796875" bestFit="1" customWidth="1" style="299" min="22" max="22"/>
    <col width="12.453125" bestFit="1" customWidth="1" min="23" max="23"/>
    <col width="110.7265625" bestFit="1" customWidth="1" min="24" max="24"/>
  </cols>
  <sheetData>
    <row r="1" ht="27" customHeight="1" thickBot="1">
      <c r="B1" s="1004" t="inlineStr">
        <is>
          <t xml:space="preserve">CAP Juin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6375212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304519208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17119120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885534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44251564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4400000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8101443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94945382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4911314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7246737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40300332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13333333.33333333</v>
      </c>
      <c r="S22" s="1026">
        <f>Q22-R22</f>
        <v/>
      </c>
      <c r="T22" s="223">
        <f>Q22/R22-1</f>
        <v/>
      </c>
      <c r="U22" s="1024" t="n">
        <v>6738267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516892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5000000</v>
      </c>
      <c r="S28" s="1026">
        <f>Q28-R28</f>
        <v/>
      </c>
      <c r="T28" s="223">
        <f>Q28/R28-1</f>
        <v/>
      </c>
      <c r="U28" s="1024" t="n">
        <v>2630500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123266000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59284028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44945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191333333.3333333</v>
      </c>
      <c r="S49" s="1026">
        <f>Q49-R49</f>
        <v/>
      </c>
      <c r="T49" s="223">
        <f>Q49/R49-1</f>
        <v/>
      </c>
      <c r="U49" s="1024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5">
        <f>SUM(C4:C50)</f>
        <v/>
      </c>
      <c r="D51" s="1035">
        <f>SUM(D4:D50)</f>
        <v/>
      </c>
      <c r="E51" s="1035">
        <f>SUM(E4:E50)</f>
        <v/>
      </c>
      <c r="F51" s="1035">
        <f>SUM(F4:F50)</f>
        <v/>
      </c>
      <c r="G51" s="1035">
        <f>SUM(G4:G50)</f>
        <v/>
      </c>
      <c r="H51" s="1035">
        <f>SUM(H4:H50)</f>
        <v/>
      </c>
      <c r="I51" s="1035">
        <f>SUM(I4:I50)</f>
        <v/>
      </c>
      <c r="J51" s="1035">
        <f>SUM(J4:J50)</f>
        <v/>
      </c>
      <c r="K51" s="1035">
        <f>SUM(K4:K50)</f>
        <v/>
      </c>
      <c r="L51" s="1035">
        <f>SUM(L4:L50)</f>
        <v/>
      </c>
      <c r="M51" s="1035">
        <f>SUM(M4:M50)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1459" t="n"/>
      <c r="S52" s="1331">
        <f>SUM(S53:S56)</f>
        <v/>
      </c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Format="1" customHeight="1" s="1003" thickBot="1">
      <c r="B56" s="1003" t="inlineStr">
        <is>
          <t>loyer</t>
        </is>
      </c>
      <c r="C56" s="827">
        <f>B51/D54</f>
        <v/>
      </c>
      <c r="D56" s="1069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B57" s="1003" t="inlineStr">
        <is>
          <t>Rétros</t>
        </is>
      </c>
      <c r="C57" s="827">
        <f>D52/D54</f>
        <v/>
      </c>
      <c r="D57" s="1150" t="n"/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S51+S52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B58" s="1003" t="inlineStr">
        <is>
          <t>LOGP</t>
        </is>
      </c>
      <c r="C58" s="827">
        <f>C51/D54</f>
        <v/>
      </c>
      <c r="D58" s="1150" t="n"/>
      <c r="M58" s="1003" t="n"/>
      <c r="N58" s="1003" t="n"/>
      <c r="O58" s="1003" t="n"/>
      <c r="P58" s="1317" t="inlineStr">
        <is>
          <t>R26</t>
        </is>
      </c>
      <c r="Q58" s="1006" t="n"/>
      <c r="R58" s="1318" t="inlineStr">
        <is>
          <t>Variation Réel 26 / B 26</t>
        </is>
      </c>
      <c r="S58" s="1010" t="n"/>
      <c r="T58" s="1011" t="n"/>
      <c r="U58" s="1318" t="inlineStr">
        <is>
          <t>Variation Réel 26 / Réel 25</t>
        </is>
      </c>
      <c r="V58" s="1010" t="n"/>
      <c r="W58" s="1011" t="n"/>
    </row>
    <row r="59">
      <c r="D59" s="1150" t="n"/>
      <c r="M59" s="1003" t="n"/>
      <c r="N59" s="1003" t="n"/>
      <c r="O59" s="1003" t="n"/>
      <c r="P59" s="56" t="n"/>
    </row>
    <row r="60" ht="18.5" customHeight="1">
      <c r="F60" s="1003">
        <f>F59/4</f>
        <v/>
      </c>
      <c r="M60" s="1003" t="n"/>
      <c r="N60" s="1003" t="n"/>
      <c r="O60" s="1003" t="n"/>
      <c r="P60" s="56" t="n"/>
      <c r="R60" s="1343" t="n">
        <v>691571000</v>
      </c>
    </row>
    <row r="61">
      <c r="M61" s="1003" t="n"/>
      <c r="N61" s="1003" t="n"/>
      <c r="O61" s="1003" t="n"/>
      <c r="P61" s="56" t="n"/>
    </row>
    <row r="62">
      <c r="M62" s="1003" t="n"/>
      <c r="N62" s="1003" t="n"/>
      <c r="O62" s="1003" t="n"/>
      <c r="P62" s="56" t="n"/>
    </row>
    <row r="63">
      <c r="M63" s="1003" t="n"/>
      <c r="N63" s="1003" t="n"/>
      <c r="O63" s="1003" t="n"/>
      <c r="P63" s="56" t="n"/>
      <c r="R63" s="1352">
        <f>R60-R57</f>
        <v/>
      </c>
    </row>
    <row r="64">
      <c r="M64" s="1003" t="n"/>
      <c r="N64" s="1003" t="n"/>
      <c r="O64" s="1003" t="n"/>
      <c r="P64" s="56" t="n"/>
    </row>
    <row r="65">
      <c r="M65" s="1003" t="n"/>
      <c r="N65" s="1003" t="n"/>
      <c r="O65" s="1003" t="n"/>
      <c r="P65" s="56" t="n"/>
    </row>
    <row r="66">
      <c r="M66" s="1003" t="n"/>
      <c r="N66" s="1003" t="n"/>
      <c r="O66" s="1003" t="n"/>
      <c r="P66" s="56" t="n"/>
    </row>
    <row r="67">
      <c r="M67" s="56" t="n"/>
    </row>
    <row r="68">
      <c r="M68" s="56" t="n"/>
    </row>
    <row r="69">
      <c r="M69" s="56" t="n"/>
    </row>
    <row r="70">
      <c r="M70" s="56" t="n"/>
    </row>
    <row r="71">
      <c r="M71" s="56" t="n"/>
    </row>
    <row r="72">
      <c r="M72" s="56" t="n"/>
    </row>
    <row r="73">
      <c r="M73" s="56" t="n"/>
    </row>
    <row r="74">
      <c r="M74" s="56" t="n"/>
    </row>
    <row r="75">
      <c r="M75" s="56" t="n"/>
    </row>
    <row r="76">
      <c r="M76" s="56" t="n"/>
    </row>
    <row r="77">
      <c r="M77" s="56" t="n"/>
    </row>
    <row r="78">
      <c r="M78" s="56" t="n"/>
    </row>
    <row r="79">
      <c r="M79" s="56" t="n"/>
    </row>
    <row r="80">
      <c r="M80" s="56" t="n"/>
    </row>
    <row r="81">
      <c r="M81" s="56" t="n"/>
    </row>
    <row r="82">
      <c r="M82" s="56" t="n"/>
    </row>
    <row r="83">
      <c r="M83" s="56" t="n"/>
    </row>
    <row r="84">
      <c r="M84" s="56" t="n"/>
    </row>
    <row r="85">
      <c r="M85" s="56" t="n"/>
    </row>
    <row r="86">
      <c r="M86" s="56" t="n"/>
    </row>
    <row r="87">
      <c r="M87" s="56" t="n"/>
    </row>
    <row r="88">
      <c r="M88" s="56" t="n"/>
    </row>
    <row r="89">
      <c r="M89" s="56" t="n"/>
    </row>
    <row r="90">
      <c r="M90" s="56" t="n"/>
    </row>
    <row r="91">
      <c r="M91" s="56" t="n"/>
    </row>
    <row r="92">
      <c r="M92" s="56" t="n"/>
    </row>
    <row r="93">
      <c r="M93" s="56" t="n"/>
    </row>
    <row r="94">
      <c r="M94" s="56" t="n"/>
    </row>
    <row r="95">
      <c r="M95" s="56" t="n"/>
    </row>
    <row r="96">
      <c r="M96" s="56" t="n"/>
    </row>
    <row r="97">
      <c r="M97" s="56" t="n"/>
    </row>
    <row r="98">
      <c r="M98" s="56" t="n"/>
    </row>
    <row r="99">
      <c r="M99" s="56" t="n"/>
    </row>
    <row r="100">
      <c r="M100" s="56" t="n"/>
    </row>
    <row r="101">
      <c r="M101" s="56" t="n"/>
    </row>
    <row r="102">
      <c r="M102" s="56" t="n"/>
    </row>
    <row r="103">
      <c r="M103" s="56" t="n"/>
    </row>
    <row r="104">
      <c r="M104" s="56" t="n"/>
    </row>
    <row r="105">
      <c r="M105" s="56" t="n"/>
    </row>
    <row r="106">
      <c r="M106" s="56" t="n"/>
    </row>
    <row r="107">
      <c r="M107" s="56" t="n"/>
    </row>
    <row r="108">
      <c r="M108" s="56" t="n"/>
    </row>
    <row r="109">
      <c r="M109" s="56" t="n"/>
    </row>
    <row r="110">
      <c r="M110" s="56" t="n"/>
    </row>
    <row r="111">
      <c r="M111" s="56" t="n"/>
    </row>
    <row r="112">
      <c r="M112" s="56" t="n"/>
    </row>
    <row r="113">
      <c r="M113" s="56" t="n"/>
    </row>
    <row r="114">
      <c r="M114" s="56" t="n"/>
    </row>
    <row r="115">
      <c r="M115" s="56" t="n"/>
    </row>
    <row r="116">
      <c r="M116" s="56" t="n"/>
    </row>
    <row r="117">
      <c r="M117" s="56" t="n"/>
    </row>
    <row r="118">
      <c r="M118" s="56" t="n"/>
    </row>
    <row r="119">
      <c r="M119" s="56" t="n"/>
    </row>
    <row r="120">
      <c r="M120" s="56" t="n"/>
    </row>
    <row r="121">
      <c r="M121" s="56" t="n"/>
    </row>
    <row r="122">
      <c r="M122" s="56" t="n"/>
    </row>
    <row r="123">
      <c r="M123" s="56" t="n"/>
    </row>
    <row r="124">
      <c r="M124" s="56" t="n"/>
    </row>
    <row r="125">
      <c r="M125" s="56" t="n"/>
    </row>
    <row r="126">
      <c r="M126" s="56" t="n"/>
    </row>
    <row r="127">
      <c r="M127" s="56" t="n"/>
    </row>
    <row r="128">
      <c r="M128" s="56" t="n"/>
    </row>
    <row r="129">
      <c r="M129" s="56" t="n"/>
    </row>
    <row r="130">
      <c r="M130" s="56" t="n"/>
    </row>
    <row r="131">
      <c r="M131" s="56" t="n"/>
    </row>
    <row r="132">
      <c r="M132" s="56" t="n"/>
    </row>
    <row r="133">
      <c r="M133" s="56" t="n"/>
    </row>
    <row r="134">
      <c r="M134" s="56" t="n"/>
    </row>
    <row r="135">
      <c r="M135" s="56" t="n"/>
    </row>
    <row r="136">
      <c r="M136" s="56" t="n"/>
    </row>
    <row r="137">
      <c r="M137" s="56" t="n"/>
    </row>
    <row r="138">
      <c r="M138" s="56" t="n"/>
    </row>
    <row r="139">
      <c r="M139" s="56" t="n"/>
    </row>
    <row r="140">
      <c r="M140" s="56" t="n"/>
    </row>
    <row r="141">
      <c r="M141" s="56" t="n"/>
    </row>
    <row r="142">
      <c r="M142" s="56" t="n"/>
    </row>
    <row r="143">
      <c r="M143" s="56" t="n"/>
    </row>
    <row r="144">
      <c r="M144" s="56" t="n"/>
    </row>
    <row r="145">
      <c r="M145" s="56" t="n"/>
    </row>
    <row r="146">
      <c r="M146" s="56" t="n"/>
    </row>
    <row r="147">
      <c r="M147" s="56" t="n"/>
    </row>
    <row r="148">
      <c r="M148" s="56" t="n"/>
    </row>
    <row r="149">
      <c r="M149" s="56" t="n"/>
    </row>
    <row r="150">
      <c r="M150" s="56" t="n"/>
    </row>
    <row r="151">
      <c r="M151" s="56" t="n"/>
    </row>
    <row r="152">
      <c r="M152" s="56" t="n"/>
    </row>
    <row r="153">
      <c r="M153" s="56" t="n"/>
    </row>
    <row r="154">
      <c r="M154" s="56" t="n"/>
    </row>
    <row r="155">
      <c r="M155" s="56" t="n"/>
    </row>
    <row r="156">
      <c r="M156" s="56" t="n"/>
    </row>
    <row r="157">
      <c r="M157" s="56" t="n"/>
    </row>
    <row r="158">
      <c r="M158" s="56" t="n"/>
    </row>
    <row r="159">
      <c r="M159" s="56" t="n"/>
    </row>
    <row r="160">
      <c r="M160" s="56" t="n"/>
    </row>
    <row r="161">
      <c r="M161" s="56" t="n"/>
    </row>
    <row r="162">
      <c r="M162" s="56" t="n"/>
    </row>
    <row r="163">
      <c r="M163" s="56" t="n"/>
    </row>
    <row r="164">
      <c r="M164" s="56" t="n"/>
    </row>
    <row r="165">
      <c r="M165" s="56" t="n"/>
    </row>
    <row r="166">
      <c r="M166" s="56" t="n"/>
    </row>
    <row r="167">
      <c r="M167" s="56" t="n"/>
    </row>
    <row r="168">
      <c r="M168" s="56" t="n"/>
    </row>
    <row r="169">
      <c r="M169" s="56" t="n"/>
    </row>
    <row r="170">
      <c r="M170" s="56" t="n"/>
    </row>
    <row r="171">
      <c r="M171" s="56" t="n"/>
    </row>
    <row r="172">
      <c r="M172" s="56" t="n"/>
    </row>
    <row r="173">
      <c r="M173" s="56" t="n"/>
    </row>
    <row r="174">
      <c r="M174" s="56" t="n"/>
    </row>
    <row r="175">
      <c r="M175" s="56" t="n"/>
    </row>
    <row r="176">
      <c r="M176" s="56" t="n"/>
    </row>
    <row r="177">
      <c r="M177" s="56" t="n"/>
    </row>
    <row r="178">
      <c r="M178" s="56" t="n"/>
    </row>
    <row r="179">
      <c r="M179" s="56" t="n"/>
    </row>
    <row r="180">
      <c r="M180" s="56" t="n"/>
    </row>
    <row r="181">
      <c r="M181" s="56" t="n"/>
    </row>
    <row r="182">
      <c r="M182" s="56" t="n"/>
    </row>
    <row r="183">
      <c r="M183" s="56" t="n"/>
    </row>
    <row r="184">
      <c r="M184" s="56" t="n"/>
    </row>
    <row r="185">
      <c r="M185" s="56" t="n"/>
    </row>
    <row r="186">
      <c r="M186" s="56" t="n"/>
    </row>
    <row r="187">
      <c r="M187" s="56" t="n"/>
    </row>
    <row r="188">
      <c r="M188" s="56" t="n"/>
    </row>
    <row r="189">
      <c r="M189" s="56" t="n"/>
    </row>
    <row r="190">
      <c r="M190" s="56" t="n"/>
    </row>
    <row r="191">
      <c r="M191" s="56" t="n"/>
    </row>
    <row r="192">
      <c r="M192" s="56" t="n"/>
    </row>
    <row r="193">
      <c r="M193" s="56" t="n"/>
    </row>
    <row r="194">
      <c r="M194" s="56" t="n"/>
    </row>
    <row r="195">
      <c r="M195" s="56" t="n"/>
    </row>
    <row r="196">
      <c r="M196" s="56" t="n"/>
    </row>
    <row r="197">
      <c r="M197" s="56" t="n"/>
    </row>
    <row r="198">
      <c r="M198" s="56" t="n"/>
    </row>
    <row r="199">
      <c r="M199" s="56" t="n"/>
    </row>
    <row r="200">
      <c r="M200" s="5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14" zoomScale="90" zoomScaleNormal="90" workbookViewId="0">
      <pane xSplit="1" topLeftCell="Q1" activePane="topRight" state="frozen"/>
      <selection pane="topRight" activeCell="X16" sqref="X16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9"/>
    <col width="17.54296875" customWidth="1" style="1003" min="10" max="10"/>
    <col width="17.81640625" bestFit="1" customWidth="1" style="1003" min="11" max="11"/>
    <col width="16.453125" bestFit="1" customWidth="1" style="1003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.1796875" customWidth="1" min="19" max="19"/>
    <col width="9.7265625" bestFit="1" customWidth="1" min="20" max="20"/>
    <col width="19.1796875" bestFit="1" customWidth="1" min="21" max="22"/>
    <col width="7.7265625" bestFit="1" customWidth="1" min="23" max="23"/>
    <col width="108" bestFit="1" customWidth="1" min="24" max="24"/>
  </cols>
  <sheetData>
    <row r="1" ht="27" customHeight="1" thickBot="1">
      <c r="B1" s="1004" t="inlineStr">
        <is>
          <t xml:space="preserve">CAP Juillet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1500000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34930002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41103043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207476634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367332</v>
      </c>
      <c r="V10" s="1026">
        <f>Q10-U10</f>
        <v/>
      </c>
      <c r="W10" s="223">
        <f>(Q10/U10-1)</f>
        <v/>
      </c>
      <c r="X10" s="163" t="n"/>
    </row>
    <row r="11" ht="15" customHeight="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37557644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1950000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635593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31271332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103178703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4597216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19066334</v>
      </c>
      <c r="V20" s="1026">
        <f>Q20-U20</f>
        <v/>
      </c>
      <c r="W20" s="223">
        <f>(Q20/U20-1)</f>
        <v/>
      </c>
      <c r="X20" s="163" t="n"/>
    </row>
    <row r="21" ht="15" customHeight="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33038098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6847620</v>
      </c>
      <c r="V22" s="1026">
        <f>Q22-U22</f>
        <v/>
      </c>
      <c r="W22" s="223">
        <f>(Q22/U22-1)</f>
        <v/>
      </c>
      <c r="X22" s="163" t="n"/>
    </row>
    <row r="23" ht="15" customHeight="1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30000000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1865000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57050000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13975400</v>
      </c>
      <c r="V38" s="1026">
        <f>Q38-U38</f>
        <v/>
      </c>
      <c r="W38" s="223">
        <f>(Q38/U38-1)</f>
        <v/>
      </c>
      <c r="X38" s="163" t="n"/>
    </row>
    <row r="39" ht="15" customFormat="1" customHeight="1" s="5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1213750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Format="1" customHeight="1" s="5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100351861</v>
      </c>
      <c r="V44" s="1026">
        <f>Q44-U44</f>
        <v/>
      </c>
      <c r="W44" s="223">
        <f>(Q44/U44-1)</f>
        <v/>
      </c>
      <c r="X44" s="163" t="n"/>
    </row>
    <row r="45" ht="15" customHeight="1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0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5">
        <f>SUM(C4:C50)</f>
        <v/>
      </c>
      <c r="D51" s="1035">
        <f>SUM(D4:D50)</f>
        <v/>
      </c>
      <c r="E51" s="1035">
        <f>SUM(E4:E50)</f>
        <v/>
      </c>
      <c r="F51" s="1035">
        <f>SUM(F4:F50)</f>
        <v/>
      </c>
      <c r="G51" s="1035">
        <f>SUM(G4:G50)</f>
        <v/>
      </c>
      <c r="H51" s="1035">
        <f>SUM(H4:H50)</f>
        <v/>
      </c>
      <c r="I51" s="1038">
        <f>SUM(I4:I50)</f>
        <v/>
      </c>
      <c r="J51" s="1038">
        <f>SUM(J4:J50)</f>
        <v/>
      </c>
      <c r="K51" s="1038">
        <f>SUM(K4:K50)</f>
        <v/>
      </c>
      <c r="L51" s="1038">
        <f>SUM(L4:L50)</f>
        <v/>
      </c>
      <c r="M51" s="1038">
        <f>SUM(M4:M50)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Height="1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O52" s="1003" t="n"/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Format="1" customHeight="1" s="1003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>
        <v>0</v>
      </c>
      <c r="V53" s="1062">
        <f>Q53-U53</f>
        <v/>
      </c>
      <c r="W53" s="678">
        <f>(Q53/U53-1)</f>
        <v/>
      </c>
      <c r="X53" s="225" t="n"/>
    </row>
    <row r="54" ht="19.5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 t="n">
        <v>0</v>
      </c>
      <c r="O54" s="1003" t="n"/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>
        <v>0</v>
      </c>
      <c r="V54" s="1062">
        <f>Q54-U54</f>
        <v/>
      </c>
      <c r="W54" s="678">
        <f>(Q54/U54-1)</f>
        <v/>
      </c>
      <c r="X54" s="1068" t="n"/>
    </row>
    <row r="55" ht="15.5" customFormat="1" customHeight="1" s="1003"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>
        <v>0</v>
      </c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66" t="n">
        <v>0</v>
      </c>
      <c r="V56" s="1062">
        <f>Q56-U56</f>
        <v/>
      </c>
      <c r="W56" s="678">
        <f>(Q56/U56-1)</f>
        <v/>
      </c>
      <c r="X56" s="1072" t="n"/>
    </row>
    <row r="57" ht="19" customHeight="1" thickBot="1">
      <c r="B57" s="1003" t="inlineStr">
        <is>
          <t>Loyer</t>
        </is>
      </c>
      <c r="C57" s="1150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U51+U56</f>
        <v/>
      </c>
      <c r="V57" s="1075">
        <f>V51+V53+V54+V55+V56</f>
        <v/>
      </c>
      <c r="W57" s="526">
        <f>(Q57/U57-1)</f>
        <v/>
      </c>
      <c r="X57" s="1076" t="n"/>
    </row>
    <row r="58" ht="16" customHeight="1" thickBot="1">
      <c r="B58" s="1003" t="inlineStr">
        <is>
          <t>LOGP</t>
        </is>
      </c>
      <c r="C58" s="1150">
        <f>C51/D54</f>
        <v/>
      </c>
      <c r="D58" s="691" t="n"/>
      <c r="M58" s="1003" t="n"/>
      <c r="N58" s="1003" t="n"/>
      <c r="O58" s="1003" t="n"/>
      <c r="P58" s="1317" t="inlineStr">
        <is>
          <t>R25</t>
        </is>
      </c>
      <c r="Q58" s="1006" t="n"/>
      <c r="R58" s="1000" t="inlineStr">
        <is>
          <t>Variation Réel 25 / B25</t>
        </is>
      </c>
      <c r="S58" s="1005" t="n"/>
      <c r="T58" s="1005" t="n"/>
      <c r="U58" s="1461" t="inlineStr">
        <is>
          <t>Variation Réel 25 / Réel 24</t>
        </is>
      </c>
      <c r="V58" s="1005" t="n"/>
      <c r="W58" s="1006" t="n"/>
    </row>
    <row r="59">
      <c r="B59" s="1003" t="inlineStr">
        <is>
          <t>rétros</t>
        </is>
      </c>
      <c r="C59" s="1150">
        <f>D52/D54</f>
        <v/>
      </c>
      <c r="D59" s="691" t="n"/>
    </row>
    <row r="60" ht="18.5" customHeight="1">
      <c r="D60" s="691" t="n"/>
      <c r="R60" s="1343" t="n">
        <v>481904000</v>
      </c>
    </row>
    <row r="62">
      <c r="R62" s="1352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37" zoomScale="92" zoomScaleNormal="92" workbookViewId="0">
      <pane xSplit="1" topLeftCell="R1" activePane="topRight" state="frozen"/>
      <selection pane="topRight" activeCell="X14" sqref="X14"/>
    </sheetView>
  </sheetViews>
  <sheetFormatPr baseColWidth="10" defaultRowHeight="14.5"/>
  <cols>
    <col width="36.453125" customWidth="1" min="1" max="1"/>
    <col width="14.26953125" bestFit="1" customWidth="1" style="1003" min="2" max="2"/>
    <col width="15.54296875" customWidth="1" min="3" max="3"/>
    <col width="19.1796875" customWidth="1" min="4" max="4"/>
    <col width="18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9"/>
    <col width="17.26953125" customWidth="1" style="1003" min="10" max="10"/>
    <col width="17.7265625" bestFit="1" customWidth="1" style="1003" min="11" max="11"/>
    <col width="16.453125" bestFit="1" customWidth="1" style="1003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" customWidth="1" min="19" max="19"/>
    <col width="14.81640625" bestFit="1" customWidth="1" min="20" max="20"/>
    <col width="19.1796875" bestFit="1" customWidth="1" min="21" max="22"/>
    <col width="16" customWidth="1" min="23" max="23"/>
    <col width="108" bestFit="1" customWidth="1" min="24" max="24"/>
  </cols>
  <sheetData>
    <row r="1" ht="27" customHeight="1" thickBot="1">
      <c r="B1" s="1004" t="inlineStr">
        <is>
          <t xml:space="preserve">CAP Août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 / ATL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2026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25245000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19440926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156344652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017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763509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399454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3784835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640000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32348575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30975015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93136532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017" t="n"/>
      <c r="C18" s="1018" t="n"/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5165894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10667600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29464767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6646434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017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421044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2624500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26982000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Format="1" customHeight="1" s="5">
      <c r="A38" s="550">
        <f>'Cumul annuel'!A38</f>
        <v/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61614700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Format="1" customHeight="1" s="5">
      <c r="A43" s="550">
        <f>'Cumul annuel'!A43</f>
        <v/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017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5481355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017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90816045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017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017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017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017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100000000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029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462">
        <f>SUM(G5:G50)</f>
        <v/>
      </c>
      <c r="H51" s="1462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463" t="n"/>
      <c r="H52" s="1463" t="n"/>
      <c r="I52" s="1048" t="n"/>
      <c r="J52" s="1050" t="n"/>
      <c r="K52" s="105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64">
        <f>G51-G52</f>
        <v/>
      </c>
      <c r="H54" s="1464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D57" t="inlineStr">
        <is>
          <t>Loyer</t>
        </is>
      </c>
      <c r="E57" s="691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 t="n"/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691" t="inlineStr">
        <is>
          <t>LOGP</t>
        </is>
      </c>
      <c r="E58" s="691">
        <f>C51/D54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1000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>
      <c r="D59" s="691" t="inlineStr">
        <is>
          <t>rétros</t>
        </is>
      </c>
      <c r="E59" s="827">
        <f>D52/D54</f>
        <v/>
      </c>
    </row>
    <row r="60" ht="18.5" customHeight="1">
      <c r="D60" s="691" t="n"/>
      <c r="R60" s="1343" t="n">
        <v>481904000</v>
      </c>
    </row>
    <row r="61">
      <c r="D61" s="691" t="n"/>
    </row>
    <row r="62">
      <c r="D62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1:X69"/>
  <sheetViews>
    <sheetView topLeftCell="A35" zoomScale="92" zoomScaleNormal="92" workbookViewId="0">
      <pane xSplit="1" topLeftCell="Q1" activePane="topRight" state="frozen"/>
      <selection pane="topRight" activeCell="X14" sqref="X14"/>
    </sheetView>
  </sheetViews>
  <sheetFormatPr baseColWidth="10" defaultRowHeight="14.5"/>
  <cols>
    <col width="37" bestFit="1" customWidth="1" min="1" max="1"/>
    <col width="13.26953125" bestFit="1" customWidth="1" style="1003" min="2" max="2"/>
    <col width="15.453125" customWidth="1" min="3" max="3"/>
    <col width="19.1796875" bestFit="1" customWidth="1" min="4" max="4"/>
    <col width="17.453125" customWidth="1" min="5" max="5"/>
    <col width="16.1796875" bestFit="1" customWidth="1" style="1003" min="6" max="6"/>
    <col width="16.26953125" customWidth="1" style="1003" min="7" max="7"/>
    <col width="16.1796875" customWidth="1" style="1003" min="8" max="8"/>
    <col width="19.1796875" bestFit="1" customWidth="1" style="1003" min="9" max="9"/>
    <col width="17.7265625" bestFit="1" customWidth="1" style="1003" min="10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8.81640625" customWidth="1" min="17" max="17"/>
    <col width="19.1796875" bestFit="1" customWidth="1" min="18" max="18"/>
    <col width="19.453125" customWidth="1" min="19" max="19"/>
    <col width="13.81640625" bestFit="1" customWidth="1" min="20" max="20"/>
    <col width="19.1796875" bestFit="1" customWidth="1" min="21" max="22"/>
    <col width="8.81640625" customWidth="1" min="23" max="23"/>
    <col width="114.1796875" bestFit="1" customWidth="1" min="24" max="24"/>
  </cols>
  <sheetData>
    <row r="1" ht="27" customHeight="1" thickBot="1">
      <c r="B1" s="1004" t="inlineStr">
        <is>
          <t xml:space="preserve">CAP Septembre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17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017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178418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017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017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5600000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017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017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017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017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5870821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017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810000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017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39150120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017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017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14766725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017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19117309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017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116784675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017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017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6157566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017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017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22688821</v>
      </c>
      <c r="V21" s="1026">
        <f>Q21-U21</f>
        <v/>
      </c>
      <c r="W21" s="223">
        <f>(Q21/U21-1)</f>
        <v/>
      </c>
      <c r="X21" s="163" t="n"/>
    </row>
    <row r="22">
      <c r="A22" s="550">
        <f>'Cumul annuel'!A22</f>
        <v/>
      </c>
      <c r="B22" s="1017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5807184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017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017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017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017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017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66737839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017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017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11924000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017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017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017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017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017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017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Height="1">
      <c r="A36" s="550">
        <f>'Cumul annuel'!A36</f>
        <v/>
      </c>
      <c r="B36" s="1017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1200000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017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Format="1" customHeight="1" s="5">
      <c r="A38" s="550">
        <f>'Cumul annuel'!A38</f>
        <v/>
      </c>
      <c r="B38" s="1017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69020100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017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017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Height="1">
      <c r="A41" s="550">
        <f>'Cumul annuel'!A41</f>
        <v/>
      </c>
      <c r="B41" s="1017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017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Format="1" customHeight="1" s="5">
      <c r="A43" s="550">
        <f>'Cumul annuel'!A43</f>
        <v/>
      </c>
      <c r="B43" s="1017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017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017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53496417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017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017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017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1639000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017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182511193</v>
      </c>
      <c r="V49" s="1026">
        <f>Q49-U49</f>
        <v/>
      </c>
      <c r="W49" s="223">
        <f>(Q49/U49-1)</f>
        <v/>
      </c>
      <c r="X49" s="163" t="n"/>
    </row>
    <row r="50" ht="15" customHeight="1" thickBot="1">
      <c r="A50" s="550">
        <f>'Cumul annuel'!A50</f>
        <v/>
      </c>
      <c r="B50" s="1029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465">
        <f>E52+F52+I52+J52</f>
        <v/>
      </c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>
        <f>G52/G51</f>
        <v/>
      </c>
      <c r="H53" s="1056">
        <f>H52/H51</f>
        <v/>
      </c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.5" customFormat="1" customHeight="1" s="1003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66">
        <f>G51-G52</f>
        <v/>
      </c>
      <c r="H54" s="1466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P54" s="231" t="inlineStr">
        <is>
          <t>HINT</t>
        </is>
      </c>
      <c r="Q54" s="106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23.25" customHeight="1" thickBot="1">
      <c r="C57" s="339" t="inlineStr">
        <is>
          <t>Loyer</t>
        </is>
      </c>
      <c r="D57" s="787">
        <f>B51/D54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3">
        <f>U51+U52</f>
        <v/>
      </c>
      <c r="V57" s="1075">
        <f>V51+V53+V54+V55+V56</f>
        <v/>
      </c>
      <c r="W57" s="246">
        <f>(Q57/U57-1)</f>
        <v/>
      </c>
      <c r="X57" s="1076" t="n"/>
    </row>
    <row r="58" ht="25.5" customHeight="1" thickBot="1">
      <c r="C58" s="57" t="inlineStr">
        <is>
          <t>LOGP</t>
        </is>
      </c>
      <c r="D58" s="788">
        <f>C51/D54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1000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 ht="15" customHeight="1" thickBot="1">
      <c r="C59" s="59" t="inlineStr">
        <is>
          <t>Retrocession</t>
        </is>
      </c>
      <c r="D59" s="789">
        <f>D52/D54</f>
        <v/>
      </c>
    </row>
    <row r="60" ht="18.5" customHeight="1">
      <c r="R60" s="1343" t="n">
        <v>481904000</v>
      </c>
    </row>
    <row r="61">
      <c r="B61" s="1467" t="n"/>
    </row>
    <row r="62">
      <c r="B62" s="1467" t="n"/>
    </row>
    <row r="63">
      <c r="C63" s="1003" t="n"/>
    </row>
    <row r="64">
      <c r="C64" s="1003" t="n"/>
      <c r="D64" s="1069" t="n"/>
    </row>
    <row r="65">
      <c r="B65" s="1467" t="n"/>
      <c r="C65" s="1003" t="n"/>
    </row>
    <row r="66">
      <c r="B66" s="1467" t="n"/>
      <c r="C66" s="1003" t="n"/>
    </row>
    <row r="69">
      <c r="F69" s="1003">
        <f>B69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60"/>
  <sheetViews>
    <sheetView topLeftCell="A34" zoomScale="73" zoomScaleNormal="73" workbookViewId="0">
      <pane xSplit="1" topLeftCell="P1" activePane="topRight" state="frozen"/>
      <selection pane="topRight" activeCell="R23" sqref="R23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179687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0" bestFit="1" customWidth="1" min="20" max="20"/>
    <col width="19.1796875" bestFit="1" customWidth="1" min="21" max="22"/>
    <col width="66.26953125" bestFit="1" customWidth="1" min="24" max="24"/>
  </cols>
  <sheetData>
    <row r="1" ht="27" customHeight="1" thickBot="1">
      <c r="B1" s="1004" t="inlineStr">
        <is>
          <t xml:space="preserve">CAP Octobre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25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49852</v>
      </c>
      <c r="V5" s="1026">
        <f>Q5-U5</f>
        <v/>
      </c>
      <c r="W5" s="223">
        <f>(Q5/U5-1)</f>
        <v/>
      </c>
      <c r="X5" s="163" t="n"/>
    </row>
    <row r="6" ht="15" customHeight="1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468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8393941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468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167760219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468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468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468" t="n"/>
      <c r="F11" s="1020" t="n"/>
      <c r="G11" s="1021" t="n"/>
      <c r="H11" s="1469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468" t="n"/>
      <c r="F12" s="1020" t="n"/>
      <c r="G12" s="1021" t="n"/>
      <c r="H12" s="1469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468" t="n"/>
      <c r="F13" s="1020" t="n"/>
      <c r="G13" s="1021" t="n"/>
      <c r="H13" s="1469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468" t="n"/>
      <c r="F14" s="1020" t="n"/>
      <c r="G14" s="1021" t="n"/>
      <c r="H14" s="1469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468" t="n"/>
      <c r="F15" s="1020" t="n"/>
      <c r="G15" s="1021" t="n"/>
      <c r="H15" s="1469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14278042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468" t="n"/>
      <c r="F16" s="1020" t="n"/>
      <c r="G16" s="1021" t="n"/>
      <c r="H16" s="1469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6900000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468" t="n"/>
      <c r="F17" s="1020" t="n"/>
      <c r="G17" s="1021" t="n"/>
      <c r="H17" s="1469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150999526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469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19668659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469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4802229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469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5772000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469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22025712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469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5752178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469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450000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469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 ht="15" customHeight="1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469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469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0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469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43203000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469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3041000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469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469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469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0</v>
      </c>
      <c r="V31" s="1026">
        <f>Q31-U31</f>
        <v/>
      </c>
      <c r="W31" s="223">
        <f>(Q31/U31-1)</f>
        <v/>
      </c>
      <c r="X31" s="163" t="n"/>
    </row>
    <row r="32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469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468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19500000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173905684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Format="1" customHeigh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42270532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 ht="15" customHeight="1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 ht="15" customHeight="1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 ht="15" customHeight="1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59688086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.7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470" t="n"/>
      <c r="H52" s="1470" t="n"/>
      <c r="I52" s="1050" t="n"/>
      <c r="J52" s="1471" t="n"/>
      <c r="K52" s="1471" t="n"/>
      <c r="L52" s="1052" t="inlineStr">
        <is>
          <t>NP</t>
        </is>
      </c>
      <c r="M52" s="1052" t="inlineStr">
        <is>
          <t>NP</t>
        </is>
      </c>
      <c r="N52" s="1053">
        <f>J52+I52+F52+E52</f>
        <v/>
      </c>
      <c r="P52" s="235" t="inlineStr">
        <is>
          <t xml:space="preserve">Rétrocessions </t>
        </is>
      </c>
      <c r="Q52" s="1472">
        <f>Q53+Q54+Q55+Q56</f>
        <v/>
      </c>
      <c r="R52" s="1459" t="n"/>
      <c r="S52" s="233" t="n"/>
      <c r="T52" s="234" t="n"/>
      <c r="U52" s="1460" t="n">
        <v>0</v>
      </c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473">
        <f>G51-G52</f>
        <v/>
      </c>
      <c r="H54" s="1473">
        <f>H51-H52</f>
        <v/>
      </c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E55" s="1069" t="n"/>
      <c r="M55" s="1003" t="n"/>
      <c r="N55" s="1003" t="n"/>
      <c r="O55" s="1003" t="n"/>
      <c r="P55" s="231" t="inlineStr">
        <is>
          <t>AER</t>
        </is>
      </c>
      <c r="Q55" s="106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691" t="n"/>
      <c r="M56" s="1003" t="n"/>
      <c r="N56" s="1003" t="n"/>
      <c r="O56" s="1070" t="n"/>
      <c r="P56" s="236" t="inlineStr">
        <is>
          <t>EMAR</t>
        </is>
      </c>
      <c r="Q56" s="1071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C57" s="1003" t="n"/>
      <c r="D57" s="691" t="n"/>
      <c r="M57" s="1003" t="n"/>
      <c r="N57" s="1003" t="n"/>
      <c r="O57" s="1003" t="n"/>
      <c r="P57" s="1073" t="inlineStr">
        <is>
          <t>ACTIVITE O&amp;G</t>
        </is>
      </c>
      <c r="Q57" s="1074">
        <f>Q51+Q52</f>
        <v/>
      </c>
      <c r="R57" s="1074">
        <f>R51+R53+R54+R55+R56</f>
        <v/>
      </c>
      <c r="S57" s="1075">
        <f>S51+S53+S54+S55+S56</f>
        <v/>
      </c>
      <c r="T57" s="246">
        <f>Q57/R57-1</f>
        <v/>
      </c>
      <c r="U57" s="1073">
        <f>U51+U52</f>
        <v/>
      </c>
      <c r="V57" s="1075">
        <f>V51+V53+V54+V55+V56</f>
        <v/>
      </c>
      <c r="W57" s="526">
        <f>(Q57/U57-1)</f>
        <v/>
      </c>
      <c r="X57" s="1076" t="n"/>
    </row>
    <row r="58" ht="20.5" customHeight="1" thickBot="1">
      <c r="C58" s="1003" t="inlineStr">
        <is>
          <t>Loyer</t>
        </is>
      </c>
      <c r="D58" s="691">
        <f>B51/D54</f>
        <v/>
      </c>
      <c r="M58" s="1003" t="n"/>
      <c r="N58" s="1003" t="n"/>
      <c r="O58" s="1003" t="n"/>
      <c r="P58" s="1317" t="inlineStr">
        <is>
          <t>R26</t>
        </is>
      </c>
      <c r="Q58" s="1006" t="n"/>
      <c r="R58" s="1000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>
      <c r="C59" s="1003" t="inlineStr">
        <is>
          <t>LOGP</t>
        </is>
      </c>
      <c r="D59" s="691">
        <f>C51/D54</f>
        <v/>
      </c>
    </row>
    <row r="60" ht="18.5" customHeight="1">
      <c r="C60" s="1003" t="inlineStr">
        <is>
          <t>Rétros</t>
        </is>
      </c>
      <c r="D60" s="691">
        <f>D52/D54</f>
        <v/>
      </c>
      <c r="R60" s="1343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26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A1:X60"/>
  <sheetViews>
    <sheetView topLeftCell="A32" zoomScale="80" zoomScaleNormal="80" workbookViewId="0">
      <pane xSplit="1" topLeftCell="P1" activePane="topRight" state="frozen"/>
      <selection activeCell="A6" sqref="A6"/>
      <selection pane="topRight" activeCell="R22" sqref="R22"/>
    </sheetView>
  </sheetViews>
  <sheetFormatPr baseColWidth="10" defaultRowHeight="14.5"/>
  <cols>
    <col width="34.81640625" bestFit="1" customWidth="1" min="1" max="1"/>
    <col width="14.81640625" bestFit="1" customWidth="1" style="1003" min="2" max="2"/>
    <col width="15.54296875" customWidth="1" min="3" max="3"/>
    <col width="20.7265625" bestFit="1" customWidth="1" min="4" max="4"/>
    <col width="17.7265625" bestFit="1" customWidth="1" min="5" max="5"/>
    <col width="16.453125" bestFit="1" customWidth="1" style="1003" min="6" max="7"/>
    <col width="13.81640625" bestFit="1" customWidth="1" style="1003" min="8" max="8"/>
    <col width="17.81640625" bestFit="1" customWidth="1" style="1003" min="9" max="9"/>
    <col width="18.81640625" customWidth="1" style="1003" min="10" max="10"/>
    <col width="17.54296875" customWidth="1" style="1003" min="11" max="11"/>
    <col width="16.26953125" bestFit="1" customWidth="1" style="1003" min="12" max="12"/>
    <col width="17.7265625" bestFit="1" customWidth="1" min="13" max="13"/>
    <col width="28.7265625" customWidth="1" min="14" max="14"/>
    <col width="18.26953125" bestFit="1" customWidth="1" min="15" max="15"/>
    <col width="36.26953125" bestFit="1" customWidth="1" min="16" max="16"/>
    <col width="19.7265625" bestFit="1" customWidth="1" min="17" max="17"/>
    <col width="19.1796875" bestFit="1" customWidth="1" min="18" max="19"/>
    <col width="15.453125" bestFit="1" customWidth="1" min="20" max="20"/>
    <col width="19.54296875" bestFit="1" customWidth="1" min="21" max="21"/>
    <col width="19.26953125" bestFit="1" customWidth="1" min="22" max="22"/>
    <col width="14.453125" bestFit="1" customWidth="1" min="23" max="23"/>
    <col width="98" bestFit="1" customWidth="1" min="24" max="24"/>
  </cols>
  <sheetData>
    <row r="1" ht="27" customHeight="1" thickBot="1">
      <c r="B1" s="1004" t="inlineStr">
        <is>
          <t xml:space="preserve">CAP Novembre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R26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 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12990000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18824334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143272514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 t="n">
        <v>76502310</v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76502310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1999250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0</v>
      </c>
      <c r="V10" s="1026">
        <f>Q10-U10</f>
        <v/>
      </c>
      <c r="W10" s="223">
        <f>(Q10/U10-1)</f>
        <v/>
      </c>
      <c r="X10" s="163" t="n"/>
    </row>
    <row r="1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1040000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13750000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1850000</v>
      </c>
      <c r="V16" s="1026">
        <f>Q16-U16</f>
        <v/>
      </c>
      <c r="W16" s="223">
        <f>(Q16/U16-1)</f>
        <v/>
      </c>
      <c r="X16" s="163" t="n"/>
    </row>
    <row r="17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62474975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4158738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174000</v>
      </c>
      <c r="V20" s="1026">
        <f>Q20-U20</f>
        <v/>
      </c>
      <c r="W20" s="223">
        <f>(Q20/U20-1)</f>
        <v/>
      </c>
      <c r="X20" s="163" t="n"/>
    </row>
    <row r="2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845350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5912514</v>
      </c>
      <c r="V22" s="1026">
        <f>Q22-U22</f>
        <v/>
      </c>
      <c r="W22" s="223">
        <f>(Q22/U22-1)</f>
        <v/>
      </c>
      <c r="X22" s="163" t="n"/>
    </row>
    <row r="23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 ht="15" customHeight="1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1020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7622008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2169000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-160000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81993061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 ht="15" customHeight="1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ht="15" customFormat="1" customHeigh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 ht="15" customHeight="1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763750</v>
      </c>
      <c r="V42" s="1026">
        <f>Q42-U42</f>
        <v/>
      </c>
      <c r="W42" s="223">
        <f>(Q42/U42-1)</f>
        <v/>
      </c>
      <c r="X42" s="163" t="n"/>
    </row>
    <row r="43" ht="15" customHeight="1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 ht="15" customHeight="1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1160000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22467500</v>
      </c>
      <c r="V45" s="1026">
        <f>Q45-U45</f>
        <v/>
      </c>
      <c r="W45" s="223">
        <f>(Q45/U45-1)</f>
        <v/>
      </c>
      <c r="X45" s="163" t="n"/>
    </row>
    <row r="46" ht="15" customHeight="1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153059744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34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65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742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6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>
        <f>E52+F52+I52+J52</f>
        <v/>
      </c>
      <c r="E52" s="1048" t="n"/>
      <c r="F52" s="1048" t="n"/>
      <c r="G52" s="1474" t="n"/>
      <c r="H52" s="1470" t="n"/>
      <c r="I52" s="1048" t="n"/>
      <c r="J52" s="1050" t="n"/>
      <c r="K52" s="1051" t="n"/>
      <c r="L52" s="1052" t="n"/>
      <c r="M52" s="1052" t="n"/>
      <c r="N52" s="1053" t="n"/>
      <c r="O52" s="1003">
        <f>N52+D52</f>
        <v/>
      </c>
      <c r="P52" s="743" t="n"/>
      <c r="Q52" s="450" t="n"/>
      <c r="R52" s="1459" t="n"/>
      <c r="S52" s="233" t="n"/>
      <c r="T52" s="234" t="n"/>
      <c r="U52" s="1460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>
        <f>G52/G51</f>
        <v/>
      </c>
      <c r="H53" s="1056">
        <f>H52/H51</f>
        <v/>
      </c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744" t="inlineStr">
        <is>
          <t>IMAR</t>
        </is>
      </c>
      <c r="Q53" s="1475" t="n"/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746" t="inlineStr">
        <is>
          <t>HINT</t>
        </is>
      </c>
      <c r="Q54" s="1476" t="n"/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746" t="inlineStr">
        <is>
          <t>AER</t>
        </is>
      </c>
      <c r="Q55" s="1476" t="n"/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M56" s="1003" t="n"/>
      <c r="N56" s="1003" t="n"/>
      <c r="O56" s="1070" t="n"/>
      <c r="P56" s="747" t="inlineStr">
        <is>
          <t>EMAR</t>
        </is>
      </c>
      <c r="Q56" s="1477" t="n"/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B57" s="1340" t="inlineStr">
        <is>
          <t>Loyer</t>
        </is>
      </c>
      <c r="C57" s="787">
        <f>B51/D54</f>
        <v/>
      </c>
      <c r="M57" s="1003" t="n"/>
      <c r="N57" s="1003" t="n"/>
      <c r="O57" s="1003" t="n"/>
      <c r="P57" s="1478" t="inlineStr">
        <is>
          <t>ACTIVITE O&amp;G</t>
        </is>
      </c>
      <c r="Q57" s="1479">
        <f>Q51+Q53+Q54+Q55+Q56</f>
        <v/>
      </c>
      <c r="R57" s="1479">
        <f>R51+R53+R54+R55+R56</f>
        <v/>
      </c>
      <c r="S57" s="1075">
        <f>S51+S53+S54+S55+S56</f>
        <v/>
      </c>
      <c r="T57" s="454">
        <f>Q57/R57-1</f>
        <v/>
      </c>
      <c r="U57" s="1073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B58" s="1342" t="inlineStr">
        <is>
          <t>LOGP &amp; DIVERS</t>
        </is>
      </c>
      <c r="C58" s="788">
        <f>C51/D54</f>
        <v/>
      </c>
      <c r="D58" s="1069" t="n"/>
      <c r="M58" s="1003" t="n"/>
      <c r="N58" s="1003" t="n"/>
      <c r="O58" s="1003" t="n"/>
      <c r="P58" s="1317" t="inlineStr">
        <is>
          <t>R25</t>
        </is>
      </c>
      <c r="Q58" s="1006" t="n"/>
      <c r="R58" s="1000" t="inlineStr">
        <is>
          <t>Variation Réel 25 / B25</t>
        </is>
      </c>
      <c r="S58" s="1005" t="n"/>
      <c r="T58" s="1005" t="n"/>
      <c r="U58" s="1461" t="inlineStr">
        <is>
          <t>Variation Réel 25 / Réel 24</t>
        </is>
      </c>
      <c r="V58" s="1005" t="n"/>
      <c r="W58" s="1006" t="n"/>
    </row>
    <row r="59" ht="15" customHeight="1" thickBot="1">
      <c r="B59" s="1345" t="inlineStr">
        <is>
          <t>Rétros</t>
        </is>
      </c>
      <c r="C59" s="789">
        <f>D52/D54</f>
        <v/>
      </c>
      <c r="D59" s="1069" t="n"/>
    </row>
    <row r="60" ht="18.5" customHeight="1">
      <c r="C60" s="691">
        <f>SUM(C57:C59)</f>
        <v/>
      </c>
      <c r="R60" s="1343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62"/>
  <sheetViews>
    <sheetView topLeftCell="A3" zoomScale="82" zoomScaleNormal="82" workbookViewId="0">
      <pane xSplit="1" topLeftCell="B1" activePane="topRight" state="frozen"/>
      <selection pane="topRight" activeCell="Q10" sqref="Q10"/>
    </sheetView>
  </sheetViews>
  <sheetFormatPr baseColWidth="10" defaultRowHeight="14.5"/>
  <cols>
    <col width="34.81640625" bestFit="1" customWidth="1" min="1" max="1"/>
    <col width="14.26953125" bestFit="1" customWidth="1" style="1003" min="2" max="2"/>
    <col width="15.54296875" customWidth="1" min="3" max="3"/>
    <col width="19.1796875" customWidth="1" min="4" max="4"/>
    <col width="16.7265625" customWidth="1" min="5" max="5"/>
    <col width="16.453125" bestFit="1" customWidth="1" style="1003" min="6" max="6"/>
    <col width="15.54296875" customWidth="1" style="1003" min="7" max="7"/>
    <col width="14.54296875" customWidth="1" style="1003" min="8" max="8"/>
    <col width="17.7265625" bestFit="1" customWidth="1" style="1003" min="9" max="10"/>
    <col width="16.81640625" customWidth="1" style="1003" min="11" max="11"/>
    <col width="16.1796875" bestFit="1" customWidth="1" style="1003" min="12" max="12"/>
    <col width="16.453125" bestFit="1" customWidth="1" min="13" max="13"/>
    <col width="30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6.7265625" bestFit="1" customWidth="1" min="20" max="20"/>
    <col width="19.1796875" bestFit="1" customWidth="1" min="21" max="22"/>
    <col width="17.7265625" bestFit="1" customWidth="1" min="23" max="23"/>
    <col width="100.54296875" bestFit="1" customWidth="1" min="24" max="24"/>
  </cols>
  <sheetData>
    <row r="1" ht="27" customHeight="1" thickBot="1">
      <c r="B1" s="1004" t="inlineStr">
        <is>
          <t xml:space="preserve">CAP Décembre </t>
        </is>
      </c>
      <c r="C1" s="1005" t="n"/>
      <c r="D1" s="1005" t="n"/>
      <c r="E1" s="1005" t="n"/>
      <c r="F1" s="1005" t="n"/>
      <c r="G1" s="1005" t="n"/>
      <c r="H1" s="1005" t="n"/>
      <c r="I1" s="1005" t="n"/>
      <c r="J1" s="1005" t="n"/>
      <c r="K1" s="1005" t="n"/>
      <c r="L1" s="1005" t="n"/>
      <c r="M1" s="1005" t="n"/>
      <c r="N1" s="1005" t="n"/>
      <c r="O1" s="1006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07" t="inlineStr">
        <is>
          <t>BASE</t>
        </is>
      </c>
      <c r="C2" s="1005" t="n"/>
      <c r="D2" s="1006" t="n"/>
      <c r="E2" s="1008" t="inlineStr">
        <is>
          <t>CA GENERE</t>
        </is>
      </c>
      <c r="F2" s="1005" t="n"/>
      <c r="G2" s="1005" t="n"/>
      <c r="H2" s="1005" t="n"/>
      <c r="I2" s="1005" t="n"/>
      <c r="J2" s="1005" t="n"/>
      <c r="K2" s="1005" t="n"/>
      <c r="L2" s="1005" t="n"/>
      <c r="M2" s="1005" t="n"/>
      <c r="N2" s="1005" t="n"/>
      <c r="O2" s="1006" t="n"/>
      <c r="P2" s="1317" t="inlineStr">
        <is>
          <t>R25</t>
        </is>
      </c>
      <c r="Q2" s="1006" t="n"/>
      <c r="R2" s="845" t="inlineStr">
        <is>
          <t>Variation Réel 26 / B26</t>
        </is>
      </c>
      <c r="S2" s="1010" t="n"/>
      <c r="T2" s="1010" t="n"/>
      <c r="U2" s="1318" t="inlineStr">
        <is>
          <t>Variation Réel 26/ Réel 25</t>
        </is>
      </c>
      <c r="V2" s="1010" t="n"/>
      <c r="W2" s="1011" t="n"/>
      <c r="X2" s="224" t="inlineStr">
        <is>
          <t>Commentaires</t>
        </is>
      </c>
    </row>
    <row r="3">
      <c r="A3" s="219" t="n"/>
      <c r="B3" s="1012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13" t="inlineStr">
        <is>
          <t>HINT</t>
        </is>
      </c>
      <c r="G3" s="1003" t="inlineStr">
        <is>
          <t>IAER</t>
        </is>
      </c>
      <c r="H3" s="1003" t="inlineStr">
        <is>
          <t>EAER</t>
        </is>
      </c>
      <c r="I3" s="1013" t="inlineStr">
        <is>
          <t>AERIEN</t>
        </is>
      </c>
      <c r="J3" s="1013" t="inlineStr">
        <is>
          <t>EXPORT</t>
        </is>
      </c>
      <c r="K3" s="1013" t="inlineStr">
        <is>
          <t>SIRT</t>
        </is>
      </c>
      <c r="L3" s="1013" t="inlineStr">
        <is>
          <t>Afritramp</t>
        </is>
      </c>
      <c r="M3" s="1013" t="inlineStr">
        <is>
          <t>Meet &amp; Greet</t>
        </is>
      </c>
      <c r="N3" s="1014" t="inlineStr">
        <is>
          <t>CA GENERE Autres département</t>
        </is>
      </c>
      <c r="O3" s="1015" t="inlineStr">
        <is>
          <t>CA TOTAL GENERE PAR CLIENT</t>
        </is>
      </c>
      <c r="P3" s="1319" t="inlineStr">
        <is>
          <t>Sources revenus</t>
        </is>
      </c>
      <c r="Q3" s="1320" t="inlineStr">
        <is>
          <t>REEL BASE 2025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21" t="n"/>
      <c r="C4" s="1018">
        <f>D4-B4</f>
        <v/>
      </c>
      <c r="D4" s="1019" t="n"/>
      <c r="E4" s="1020" t="n"/>
      <c r="F4" s="1020" t="n"/>
      <c r="G4" s="1021" t="n"/>
      <c r="H4" s="1021" t="n"/>
      <c r="I4" s="1020">
        <f>G4+H4</f>
        <v/>
      </c>
      <c r="J4" s="1020" t="n"/>
      <c r="K4" s="1020" t="n"/>
      <c r="L4" s="1020" t="n"/>
      <c r="M4" s="1020" t="n"/>
      <c r="N4" s="1022">
        <f>J4+I4+F4+E4+L4+M4+K4</f>
        <v/>
      </c>
      <c r="O4" s="1023">
        <f>N4+D4</f>
        <v/>
      </c>
      <c r="P4" s="550">
        <f>'Cumul annuel'!A4</f>
        <v/>
      </c>
      <c r="Q4" s="1024">
        <f>D4</f>
        <v/>
      </c>
      <c r="R4" s="1025" t="n">
        <v>0</v>
      </c>
      <c r="S4" s="1026">
        <f>Q4-R4</f>
        <v/>
      </c>
      <c r="T4" s="223">
        <f>Q4/R4-1</f>
        <v/>
      </c>
      <c r="U4" s="1024" t="n">
        <v>6273450</v>
      </c>
      <c r="V4" s="1026">
        <f>Q4-U4</f>
        <v/>
      </c>
      <c r="W4" s="223">
        <f>(Q4/U4-1)</f>
        <v/>
      </c>
      <c r="X4" s="163" t="n"/>
    </row>
    <row r="5" ht="15" customHeight="1">
      <c r="A5" s="550">
        <f>'Cumul annuel'!A5</f>
        <v/>
      </c>
      <c r="B5" s="1321" t="n"/>
      <c r="C5" s="1018">
        <f>D5-B5</f>
        <v/>
      </c>
      <c r="D5" s="1019" t="n"/>
      <c r="E5" s="1020" t="n"/>
      <c r="F5" s="1020" t="n"/>
      <c r="G5" s="1021" t="n"/>
      <c r="H5" s="1021" t="n"/>
      <c r="I5" s="1020">
        <f>G5+H5</f>
        <v/>
      </c>
      <c r="J5" s="1020" t="n"/>
      <c r="K5" s="1020" t="n"/>
      <c r="L5" s="1020" t="n"/>
      <c r="M5" s="1020" t="n"/>
      <c r="N5" s="1022">
        <f>J5+I5+F5+E5+L5+M5+K5</f>
        <v/>
      </c>
      <c r="O5" s="1023">
        <f>N5+D5</f>
        <v/>
      </c>
      <c r="P5" s="550">
        <f>'Cumul annuel'!A5</f>
        <v/>
      </c>
      <c r="Q5" s="1024">
        <f>D5</f>
        <v/>
      </c>
      <c r="R5" s="1025" t="n">
        <v>6666666.666666667</v>
      </c>
      <c r="S5" s="1026">
        <f>Q5-R5</f>
        <v/>
      </c>
      <c r="T5" s="223">
        <f>Q5/R5-1</f>
        <v/>
      </c>
      <c r="U5" s="1024" t="n">
        <v>19249852</v>
      </c>
      <c r="V5" s="1026">
        <f>Q5-U5</f>
        <v/>
      </c>
      <c r="W5" s="223">
        <f>(Q5/U5-1)</f>
        <v/>
      </c>
      <c r="X5" s="163" t="n"/>
    </row>
    <row r="6">
      <c r="A6" s="550">
        <f>'Cumul annuel'!A6</f>
        <v/>
      </c>
      <c r="B6" s="1321" t="n"/>
      <c r="C6" s="1018">
        <f>D6-B6</f>
        <v/>
      </c>
      <c r="D6" s="1019" t="n"/>
      <c r="E6" s="1020" t="n"/>
      <c r="F6" s="1020" t="n"/>
      <c r="G6" s="1021" t="n"/>
      <c r="H6" s="1021" t="n"/>
      <c r="I6" s="1020">
        <f>G6+H6</f>
        <v/>
      </c>
      <c r="J6" s="1020" t="n"/>
      <c r="K6" s="1020" t="n"/>
      <c r="L6" s="1020" t="n"/>
      <c r="M6" s="1020" t="n"/>
      <c r="N6" s="1022">
        <f>J6+I6+F6+E6+L6+M6+K6</f>
        <v/>
      </c>
      <c r="O6" s="1023">
        <f>N6+D6</f>
        <v/>
      </c>
      <c r="P6" s="550">
        <f>'Cumul annuel'!A6</f>
        <v/>
      </c>
      <c r="Q6" s="1024">
        <f>D6</f>
        <v/>
      </c>
      <c r="R6" s="1025" t="n">
        <v>10750000</v>
      </c>
      <c r="S6" s="1026">
        <f>Q6-R6</f>
        <v/>
      </c>
      <c r="T6" s="223">
        <f>Q6/R6-1</f>
        <v/>
      </c>
      <c r="U6" s="1024" t="n">
        <v>0</v>
      </c>
      <c r="V6" s="1026">
        <f>Q6-U6</f>
        <v/>
      </c>
      <c r="W6" s="223">
        <f>(Q6/U6-1)</f>
        <v/>
      </c>
      <c r="X6" s="163" t="n"/>
    </row>
    <row r="7" ht="15" customHeight="1">
      <c r="A7" s="550">
        <f>'Cumul annuel'!A7</f>
        <v/>
      </c>
      <c r="B7" s="1321" t="n"/>
      <c r="C7" s="1018">
        <f>D7-B7</f>
        <v/>
      </c>
      <c r="D7" s="1019" t="n"/>
      <c r="E7" s="1020" t="n"/>
      <c r="F7" s="1020" t="n"/>
      <c r="G7" s="1021" t="n"/>
      <c r="H7" s="1021" t="n"/>
      <c r="I7" s="1020">
        <f>G7+H7</f>
        <v/>
      </c>
      <c r="J7" s="1020" t="n"/>
      <c r="K7" s="1020" t="n"/>
      <c r="L7" s="1020" t="n"/>
      <c r="M7" s="1020" t="n"/>
      <c r="N7" s="1022">
        <f>J7+I7+F7+E7+L7+M7+K7</f>
        <v/>
      </c>
      <c r="O7" s="1023">
        <f>N7+D7</f>
        <v/>
      </c>
      <c r="P7" s="550">
        <f>'Cumul annuel'!A7</f>
        <v/>
      </c>
      <c r="Q7" s="1024">
        <f>D7</f>
        <v/>
      </c>
      <c r="R7" s="1025" t="n">
        <v>50000000</v>
      </c>
      <c r="S7" s="1026">
        <f>Q7-R7</f>
        <v/>
      </c>
      <c r="T7" s="223">
        <f>Q7/R7-1</f>
        <v/>
      </c>
      <c r="U7" s="1024" t="n">
        <v>18984688</v>
      </c>
      <c r="V7" s="1026">
        <f>Q7-U7</f>
        <v/>
      </c>
      <c r="W7" s="223">
        <f>(Q7/U7-1)</f>
        <v/>
      </c>
      <c r="X7" s="163" t="n"/>
    </row>
    <row r="8" ht="15" customHeight="1">
      <c r="A8" s="550">
        <f>'Cumul annuel'!A8</f>
        <v/>
      </c>
      <c r="B8" s="1321" t="n"/>
      <c r="C8" s="1018">
        <f>D8-B8</f>
        <v/>
      </c>
      <c r="D8" s="1019" t="n"/>
      <c r="E8" s="1020" t="n"/>
      <c r="F8" s="1020" t="n"/>
      <c r="G8" s="1021" t="n"/>
      <c r="H8" s="1021" t="n"/>
      <c r="I8" s="1020">
        <f>G8+H8</f>
        <v/>
      </c>
      <c r="J8" s="1020" t="n"/>
      <c r="K8" s="1020" t="n"/>
      <c r="L8" s="1020" t="n"/>
      <c r="M8" s="1020" t="n"/>
      <c r="N8" s="1022">
        <f>J8+I8+F8+E8+L8+M8+K8</f>
        <v/>
      </c>
      <c r="O8" s="1023">
        <f>N8+D8</f>
        <v/>
      </c>
      <c r="P8" s="550">
        <f>'Cumul annuel'!A8</f>
        <v/>
      </c>
      <c r="Q8" s="1024">
        <f>D8</f>
        <v/>
      </c>
      <c r="R8" s="1025" t="n">
        <v>0</v>
      </c>
      <c r="S8" s="1026">
        <f>Q8-R8</f>
        <v/>
      </c>
      <c r="T8" s="223">
        <f>Q8/R8-1</f>
        <v/>
      </c>
      <c r="U8" s="1024" t="n">
        <v>17154750</v>
      </c>
      <c r="V8" s="1026">
        <f>Q8-U8</f>
        <v/>
      </c>
      <c r="W8" s="223">
        <f>(Q8/U8-1)</f>
        <v/>
      </c>
      <c r="X8" s="163" t="n"/>
    </row>
    <row r="9" ht="15" customHeight="1">
      <c r="A9" s="550">
        <f>'Cumul annuel'!A9</f>
        <v/>
      </c>
      <c r="B9" s="1321" t="n"/>
      <c r="C9" s="1018">
        <f>D9-B9</f>
        <v/>
      </c>
      <c r="D9" s="1019" t="n"/>
      <c r="E9" s="1020" t="n"/>
      <c r="F9" s="1020" t="n"/>
      <c r="G9" s="1021" t="n"/>
      <c r="H9" s="1021" t="n"/>
      <c r="I9" s="1020">
        <f>G9+H9</f>
        <v/>
      </c>
      <c r="J9" s="1020" t="n"/>
      <c r="K9" s="1020" t="n"/>
      <c r="L9" s="1020" t="n"/>
      <c r="M9" s="1020" t="n"/>
      <c r="N9" s="1022">
        <f>J9+I9+F9+E9+L9+M9+K9</f>
        <v/>
      </c>
      <c r="O9" s="1023">
        <f>N9+D9</f>
        <v/>
      </c>
      <c r="P9" s="550">
        <f>'Cumul annuel'!A9</f>
        <v/>
      </c>
      <c r="Q9" s="1024">
        <f>D9</f>
        <v/>
      </c>
      <c r="R9" s="1025" t="n">
        <v>833333.3333333334</v>
      </c>
      <c r="S9" s="1026">
        <f>Q9-R9</f>
        <v/>
      </c>
      <c r="T9" s="223">
        <f>Q9/R9-1</f>
        <v/>
      </c>
      <c r="U9" s="1024" t="n">
        <v>28797284</v>
      </c>
      <c r="V9" s="1026">
        <f>Q9-U9</f>
        <v/>
      </c>
      <c r="W9" s="223">
        <f>(Q9/U9-1)</f>
        <v/>
      </c>
      <c r="X9" s="163" t="n"/>
    </row>
    <row r="10" ht="15" customHeight="1">
      <c r="A10" s="550">
        <f>'Cumul annuel'!A10</f>
        <v/>
      </c>
      <c r="B10" s="1321" t="n"/>
      <c r="C10" s="1018">
        <f>D10-B10</f>
        <v/>
      </c>
      <c r="D10" s="1019" t="n"/>
      <c r="E10" s="1020" t="n"/>
      <c r="F10" s="1020" t="n"/>
      <c r="G10" s="1021" t="n"/>
      <c r="H10" s="1021" t="n"/>
      <c r="I10" s="1020">
        <f>G10+H10</f>
        <v/>
      </c>
      <c r="J10" s="1020" t="n"/>
      <c r="K10" s="1020" t="n"/>
      <c r="L10" s="1020" t="n"/>
      <c r="M10" s="1020" t="n"/>
      <c r="N10" s="1022">
        <f>J10+I10+F10+E10+L10+M10+K10</f>
        <v/>
      </c>
      <c r="O10" s="1023">
        <f>N10+D10</f>
        <v/>
      </c>
      <c r="P10" s="550">
        <f>'Cumul annuel'!A10</f>
        <v/>
      </c>
      <c r="Q10" s="1024">
        <f>D10</f>
        <v/>
      </c>
      <c r="R10" s="1025" t="n">
        <v>4600000</v>
      </c>
      <c r="S10" s="1026">
        <f>Q10-R10</f>
        <v/>
      </c>
      <c r="T10" s="223">
        <f>Q10/R10-1</f>
        <v/>
      </c>
      <c r="U10" s="1024" t="n">
        <v>56425412</v>
      </c>
      <c r="V10" s="1026">
        <f>Q10-U10</f>
        <v/>
      </c>
      <c r="W10" s="223">
        <f>(Q10/U10-1)</f>
        <v/>
      </c>
      <c r="X10" s="163" t="n"/>
    </row>
    <row r="11" ht="15" customHeight="1">
      <c r="A11" s="550">
        <f>'Cumul annuel'!A11</f>
        <v/>
      </c>
      <c r="B11" s="1321" t="n"/>
      <c r="C11" s="1018">
        <f>D11-B11</f>
        <v/>
      </c>
      <c r="D11" s="1019" t="n"/>
      <c r="E11" s="1020" t="n"/>
      <c r="F11" s="1020" t="n"/>
      <c r="G11" s="1021" t="n"/>
      <c r="H11" s="1021" t="n"/>
      <c r="I11" s="1020">
        <f>G11+H11</f>
        <v/>
      </c>
      <c r="J11" s="1020" t="n"/>
      <c r="K11" s="1020" t="n"/>
      <c r="L11" s="1020" t="n"/>
      <c r="M11" s="1020" t="n"/>
      <c r="N11" s="1022">
        <f>J11+I11+F11+E11+L11+M11+K11</f>
        <v/>
      </c>
      <c r="O11" s="1023">
        <f>N11+D11</f>
        <v/>
      </c>
      <c r="P11" s="550">
        <f>'Cumul annuel'!A11</f>
        <v/>
      </c>
      <c r="Q11" s="1024">
        <f>D11</f>
        <v/>
      </c>
      <c r="R11" s="1025" t="n">
        <v>5833333.333333333</v>
      </c>
      <c r="S11" s="1026">
        <f>Q11-R11</f>
        <v/>
      </c>
      <c r="T11" s="223">
        <f>Q11/R11-1</f>
        <v/>
      </c>
      <c r="U11" s="1024" t="n">
        <v>0</v>
      </c>
      <c r="V11" s="1026">
        <f>Q11-U11</f>
        <v/>
      </c>
      <c r="W11" s="223">
        <f>(Q11/U11-1)</f>
        <v/>
      </c>
      <c r="X11" s="163" t="n"/>
    </row>
    <row r="12" ht="15" customHeight="1">
      <c r="A12" s="550">
        <f>'Cumul annuel'!A12</f>
        <v/>
      </c>
      <c r="B12" s="1321" t="n"/>
      <c r="C12" s="1018">
        <f>D12-B12</f>
        <v/>
      </c>
      <c r="D12" s="1019" t="n"/>
      <c r="E12" s="1020" t="n"/>
      <c r="F12" s="1020" t="n"/>
      <c r="G12" s="1021" t="n"/>
      <c r="H12" s="1021" t="n"/>
      <c r="I12" s="1020">
        <f>G12+H12</f>
        <v/>
      </c>
      <c r="J12" s="1020" t="n"/>
      <c r="K12" s="1020" t="n"/>
      <c r="L12" s="1020" t="n"/>
      <c r="M12" s="1020" t="n"/>
      <c r="N12" s="1022">
        <f>J12+I12+F12+E12+L12+M12+K12</f>
        <v/>
      </c>
      <c r="O12" s="1023">
        <f>N12+D12</f>
        <v/>
      </c>
      <c r="P12" s="550">
        <f>'Cumul annuel'!A12</f>
        <v/>
      </c>
      <c r="Q12" s="1024">
        <f>D12</f>
        <v/>
      </c>
      <c r="R12" s="1025" t="n">
        <v>44251231</v>
      </c>
      <c r="S12" s="1026">
        <f>Q12-R12</f>
        <v/>
      </c>
      <c r="T12" s="223">
        <f>Q12/R12-1</f>
        <v/>
      </c>
      <c r="U12" s="1024" t="n">
        <v>608000</v>
      </c>
      <c r="V12" s="1026">
        <f>Q12-U12</f>
        <v/>
      </c>
      <c r="W12" s="223">
        <f>(Q12/U12-1)</f>
        <v/>
      </c>
      <c r="X12" s="163" t="n"/>
    </row>
    <row r="13" ht="15" customHeight="1">
      <c r="A13" s="550">
        <f>'Cumul annuel'!A13</f>
        <v/>
      </c>
      <c r="B13" s="1321" t="n"/>
      <c r="C13" s="1018">
        <f>D13-B13</f>
        <v/>
      </c>
      <c r="D13" s="1019" t="n"/>
      <c r="E13" s="1020" t="n"/>
      <c r="F13" s="1020" t="n"/>
      <c r="G13" s="1021" t="n"/>
      <c r="H13" s="1021" t="n"/>
      <c r="I13" s="1020">
        <f>G13+H13</f>
        <v/>
      </c>
      <c r="J13" s="1020" t="n"/>
      <c r="K13" s="1020" t="n"/>
      <c r="L13" s="1020" t="n"/>
      <c r="M13" s="1020" t="n"/>
      <c r="N13" s="1022">
        <f>J13+I13+F13+E13+L13+M13+K13</f>
        <v/>
      </c>
      <c r="O13" s="1023">
        <f>N13+D13</f>
        <v/>
      </c>
      <c r="P13" s="550">
        <f>'Cumul annuel'!A13</f>
        <v/>
      </c>
      <c r="Q13" s="1024">
        <f>D13</f>
        <v/>
      </c>
      <c r="R13" s="1025" t="n">
        <v>55100388</v>
      </c>
      <c r="S13" s="1026">
        <f>Q13-R13</f>
        <v/>
      </c>
      <c r="T13" s="223">
        <f>Q13/R13-1</f>
        <v/>
      </c>
      <c r="U13" s="1024" t="n">
        <v>0</v>
      </c>
      <c r="V13" s="1026">
        <f>Q13-U13</f>
        <v/>
      </c>
      <c r="W13" s="223">
        <f>(Q13/U13-1)</f>
        <v/>
      </c>
      <c r="X13" s="163" t="n"/>
    </row>
    <row r="14" ht="15" customHeight="1">
      <c r="A14" s="550">
        <f>'Cumul annuel'!A14</f>
        <v/>
      </c>
      <c r="B14" s="1321" t="n"/>
      <c r="C14" s="1018">
        <f>D14-B14</f>
        <v/>
      </c>
      <c r="D14" s="1019" t="n"/>
      <c r="E14" s="1020" t="n"/>
      <c r="F14" s="1020" t="n"/>
      <c r="G14" s="1021" t="n"/>
      <c r="H14" s="1021" t="n"/>
      <c r="I14" s="1020">
        <f>G14+H14</f>
        <v/>
      </c>
      <c r="J14" s="1020" t="n"/>
      <c r="K14" s="1020" t="n"/>
      <c r="L14" s="1020" t="n"/>
      <c r="M14" s="1020" t="n"/>
      <c r="N14" s="1022">
        <f>J14+I14+F14+E14+L14+M14+K14</f>
        <v/>
      </c>
      <c r="O14" s="1023">
        <f>N14+D14</f>
        <v/>
      </c>
      <c r="P14" s="550">
        <f>'Cumul annuel'!A14</f>
        <v/>
      </c>
      <c r="Q14" s="1024">
        <f>D14</f>
        <v/>
      </c>
      <c r="R14" s="1025" t="n">
        <v>0</v>
      </c>
      <c r="S14" s="1026">
        <f>Q14-R14</f>
        <v/>
      </c>
      <c r="T14" s="223">
        <f>Q14/R14-1</f>
        <v/>
      </c>
      <c r="U14" s="1024" t="n">
        <v>0</v>
      </c>
      <c r="V14" s="1026">
        <f>Q14-U14</f>
        <v/>
      </c>
      <c r="W14" s="223">
        <f>(Q14/U14-1)</f>
        <v/>
      </c>
      <c r="X14" s="163" t="n"/>
    </row>
    <row r="15" ht="15" customHeight="1">
      <c r="A15" s="550">
        <f>'Cumul annuel'!A15</f>
        <v/>
      </c>
      <c r="B15" s="1321" t="n"/>
      <c r="C15" s="1018">
        <f>D15-B15</f>
        <v/>
      </c>
      <c r="D15" s="1019" t="n"/>
      <c r="E15" s="1020" t="n"/>
      <c r="F15" s="1020" t="n"/>
      <c r="G15" s="1021" t="n"/>
      <c r="H15" s="1021" t="n"/>
      <c r="I15" s="1020">
        <f>G15+H15</f>
        <v/>
      </c>
      <c r="J15" s="1020" t="n"/>
      <c r="K15" s="1020" t="n"/>
      <c r="L15" s="1020" t="n"/>
      <c r="M15" s="1020" t="n"/>
      <c r="N15" s="1022">
        <f>J15+I15+F15+E15+L15+M15+K15</f>
        <v/>
      </c>
      <c r="O15" s="1023">
        <f>N15+D15</f>
        <v/>
      </c>
      <c r="P15" s="550">
        <f>'Cumul annuel'!A15</f>
        <v/>
      </c>
      <c r="Q15" s="1024">
        <f>D15</f>
        <v/>
      </c>
      <c r="R15" s="1025" t="n">
        <v>20833333.33333333</v>
      </c>
      <c r="S15" s="1026">
        <f>Q15-R15</f>
        <v/>
      </c>
      <c r="T15" s="223">
        <f>Q15/R15-1</f>
        <v/>
      </c>
      <c r="U15" s="1024" t="n">
        <v>24068410</v>
      </c>
      <c r="V15" s="1026">
        <f>Q15-U15</f>
        <v/>
      </c>
      <c r="W15" s="223">
        <f>(Q15/U15-1)</f>
        <v/>
      </c>
      <c r="X15" s="163" t="n"/>
    </row>
    <row r="16" ht="15" customHeight="1">
      <c r="A16" s="550">
        <f>'Cumul annuel'!A16</f>
        <v/>
      </c>
      <c r="B16" s="1321" t="n"/>
      <c r="C16" s="1018">
        <f>D16-B16</f>
        <v/>
      </c>
      <c r="D16" s="1019" t="n"/>
      <c r="E16" s="1020" t="n"/>
      <c r="F16" s="1020" t="n"/>
      <c r="G16" s="1021" t="n"/>
      <c r="H16" s="1021" t="n"/>
      <c r="I16" s="1020">
        <f>G16+H16</f>
        <v/>
      </c>
      <c r="J16" s="1020" t="n"/>
      <c r="K16" s="1020" t="n"/>
      <c r="L16" s="1020" t="n"/>
      <c r="M16" s="1020" t="n"/>
      <c r="N16" s="1022">
        <f>J16+I16+F16+E16+L16+M16+K16</f>
        <v/>
      </c>
      <c r="O16" s="1023">
        <f>N16+D16</f>
        <v/>
      </c>
      <c r="P16" s="550">
        <f>'Cumul annuel'!A16</f>
        <v/>
      </c>
      <c r="Q16" s="1024">
        <f>D16</f>
        <v/>
      </c>
      <c r="R16" s="1025" t="n">
        <v>833333.3333333334</v>
      </c>
      <c r="S16" s="1026">
        <f>Q16-R16</f>
        <v/>
      </c>
      <c r="T16" s="223">
        <f>Q16/R16-1</f>
        <v/>
      </c>
      <c r="U16" s="1024" t="n">
        <v>0</v>
      </c>
      <c r="V16" s="1026">
        <f>Q16-U16</f>
        <v/>
      </c>
      <c r="W16" s="223">
        <f>(Q16/U16-1)</f>
        <v/>
      </c>
      <c r="X16" s="163" t="n"/>
    </row>
    <row r="17" ht="15" customHeight="1">
      <c r="A17" s="550">
        <f>'Cumul annuel'!A17</f>
        <v/>
      </c>
      <c r="B17" s="1321" t="n"/>
      <c r="C17" s="1018">
        <f>D17-B17</f>
        <v/>
      </c>
      <c r="D17" s="1019" t="n"/>
      <c r="E17" s="1020" t="n"/>
      <c r="F17" s="1020" t="n"/>
      <c r="G17" s="1021" t="n"/>
      <c r="H17" s="1021" t="n"/>
      <c r="I17" s="1020">
        <f>G17+H17</f>
        <v/>
      </c>
      <c r="J17" s="1020" t="n"/>
      <c r="K17" s="1020" t="n"/>
      <c r="L17" s="1020" t="n"/>
      <c r="M17" s="1020" t="n"/>
      <c r="N17" s="1022">
        <f>J17+I17+F17+E17+L17+M17+K17</f>
        <v/>
      </c>
      <c r="O17" s="1023">
        <f>N17+D17</f>
        <v/>
      </c>
      <c r="P17" s="550">
        <f>'Cumul annuel'!A17</f>
        <v/>
      </c>
      <c r="Q17" s="1024">
        <f>D17</f>
        <v/>
      </c>
      <c r="R17" s="1025" t="n">
        <v>86111111.1111111</v>
      </c>
      <c r="S17" s="1026">
        <f>Q17-R17</f>
        <v/>
      </c>
      <c r="T17" s="223">
        <f>Q17/R17-1</f>
        <v/>
      </c>
      <c r="U17" s="1024" t="n">
        <v>99246426</v>
      </c>
      <c r="V17" s="1026">
        <f>Q17-U17</f>
        <v/>
      </c>
      <c r="W17" s="223">
        <f>(Q17/U17-1)</f>
        <v/>
      </c>
      <c r="X17" s="163" t="n"/>
    </row>
    <row r="18" ht="15" customHeight="1">
      <c r="A18" s="550">
        <f>'Cumul annuel'!A18</f>
        <v/>
      </c>
      <c r="B18" s="1321" t="n"/>
      <c r="C18" s="1018">
        <f>D18-B18</f>
        <v/>
      </c>
      <c r="D18" s="1019" t="n"/>
      <c r="E18" s="1020" t="n"/>
      <c r="F18" s="1020" t="n"/>
      <c r="G18" s="1021" t="n"/>
      <c r="H18" s="1021" t="n"/>
      <c r="I18" s="1020">
        <f>G18+H18</f>
        <v/>
      </c>
      <c r="J18" s="1020" t="n"/>
      <c r="K18" s="1020" t="n"/>
      <c r="L18" s="1020" t="n"/>
      <c r="M18" s="1020" t="n"/>
      <c r="N18" s="1022">
        <f>J18+I18+F18+E18+L18+M18+K18</f>
        <v/>
      </c>
      <c r="O18" s="1023">
        <f>N18+D18</f>
        <v/>
      </c>
      <c r="P18" s="550">
        <f>'Cumul annuel'!A18</f>
        <v/>
      </c>
      <c r="Q18" s="1024">
        <f>D18</f>
        <v/>
      </c>
      <c r="R18" s="1025" t="n">
        <v>0</v>
      </c>
      <c r="S18" s="1026">
        <f>Q18-R18</f>
        <v/>
      </c>
      <c r="T18" s="223">
        <f>Q18/R18-1</f>
        <v/>
      </c>
      <c r="U18" s="1024" t="n">
        <v>0</v>
      </c>
      <c r="V18" s="1026">
        <f>Q18-U18</f>
        <v/>
      </c>
      <c r="W18" s="223">
        <f>(Q18/U18-1)</f>
        <v/>
      </c>
      <c r="X18" s="163" t="n"/>
    </row>
    <row r="19" ht="15" customHeight="1">
      <c r="A19" s="550">
        <f>'Cumul annuel'!A19</f>
        <v/>
      </c>
      <c r="B19" s="1321" t="n"/>
      <c r="C19" s="1018">
        <f>D19-B19</f>
        <v/>
      </c>
      <c r="D19" s="1019" t="n"/>
      <c r="E19" s="1020" t="n"/>
      <c r="F19" s="1020" t="n"/>
      <c r="G19" s="1021" t="n"/>
      <c r="H19" s="1021" t="n"/>
      <c r="I19" s="1020">
        <f>G19+H19</f>
        <v/>
      </c>
      <c r="J19" s="1020" t="n"/>
      <c r="K19" s="1020" t="n"/>
      <c r="L19" s="1020" t="n"/>
      <c r="M19" s="1020" t="n"/>
      <c r="N19" s="1022">
        <f>J19+I19+F19+E19+L19+M19+K19</f>
        <v/>
      </c>
      <c r="O19" s="1023">
        <f>N19+D19</f>
        <v/>
      </c>
      <c r="P19" s="550">
        <f>'Cumul annuel'!A19</f>
        <v/>
      </c>
      <c r="Q19" s="1024">
        <f>D19</f>
        <v/>
      </c>
      <c r="R19" s="1025" t="n">
        <v>5000000</v>
      </c>
      <c r="S19" s="1026">
        <f>Q19-R19</f>
        <v/>
      </c>
      <c r="T19" s="223">
        <f>Q19/R19-1</f>
        <v/>
      </c>
      <c r="U19" s="1024" t="n">
        <v>4660981</v>
      </c>
      <c r="V19" s="1026">
        <f>Q19-U19</f>
        <v/>
      </c>
      <c r="W19" s="223">
        <f>(Q19/U19-1)</f>
        <v/>
      </c>
      <c r="X19" s="163" t="n"/>
    </row>
    <row r="20" ht="15" customHeight="1">
      <c r="A20" s="550">
        <f>'Cumul annuel'!A20</f>
        <v/>
      </c>
      <c r="B20" s="1321" t="n"/>
      <c r="C20" s="1018">
        <f>D20-B20</f>
        <v/>
      </c>
      <c r="D20" s="1019" t="n"/>
      <c r="E20" s="1020" t="n"/>
      <c r="F20" s="1020" t="n"/>
      <c r="G20" s="1021" t="n"/>
      <c r="H20" s="1021" t="n"/>
      <c r="I20" s="1020">
        <f>G20+H20</f>
        <v/>
      </c>
      <c r="J20" s="1020" t="n"/>
      <c r="K20" s="1020" t="n"/>
      <c r="L20" s="1020" t="n"/>
      <c r="M20" s="1020" t="n"/>
      <c r="N20" s="1022">
        <f>J20+I20+F20+E20+L20+M20+K20</f>
        <v/>
      </c>
      <c r="O20" s="1023">
        <f>N20+D20</f>
        <v/>
      </c>
      <c r="P20" s="550">
        <f>'Cumul annuel'!A20</f>
        <v/>
      </c>
      <c r="Q20" s="1024">
        <f>D20</f>
        <v/>
      </c>
      <c r="R20" s="1025" t="n">
        <v>0</v>
      </c>
      <c r="S20" s="1026">
        <f>Q20-R20</f>
        <v/>
      </c>
      <c r="T20" s="223">
        <f>Q20/R20-1</f>
        <v/>
      </c>
      <c r="U20" s="1024" t="n">
        <v>28292400</v>
      </c>
      <c r="V20" s="1026">
        <f>Q20-U20</f>
        <v/>
      </c>
      <c r="W20" s="223">
        <f>(Q20/U20-1)</f>
        <v/>
      </c>
      <c r="X20" s="163" t="n"/>
    </row>
    <row r="21" ht="15" customHeight="1">
      <c r="A21" s="550">
        <f>'Cumul annuel'!A21</f>
        <v/>
      </c>
      <c r="B21" s="1321" t="n"/>
      <c r="C21" s="1018">
        <f>D21-B21</f>
        <v/>
      </c>
      <c r="D21" s="1019" t="n"/>
      <c r="E21" s="1020" t="n"/>
      <c r="F21" s="1020" t="n"/>
      <c r="G21" s="1021" t="n"/>
      <c r="H21" s="1021" t="n"/>
      <c r="I21" s="1020">
        <f>G21+H21</f>
        <v/>
      </c>
      <c r="J21" s="1020" t="n"/>
      <c r="K21" s="1020" t="n"/>
      <c r="L21" s="1020" t="n"/>
      <c r="M21" s="1020" t="n"/>
      <c r="N21" s="1022">
        <f>J21+I21+F21+E21+L21+M21+K21</f>
        <v/>
      </c>
      <c r="O21" s="1023">
        <f>N21+D21</f>
        <v/>
      </c>
      <c r="P21" s="550">
        <f>'Cumul annuel'!A21</f>
        <v/>
      </c>
      <c r="Q21" s="1024">
        <f>D21</f>
        <v/>
      </c>
      <c r="R21" s="1025" t="n">
        <v>20833333.33333333</v>
      </c>
      <c r="S21" s="1026">
        <f>Q21-R21</f>
        <v/>
      </c>
      <c r="T21" s="223">
        <f>Q21/R21-1</f>
        <v/>
      </c>
      <c r="U21" s="1024" t="n">
        <v>2797050</v>
      </c>
      <c r="V21" s="1026">
        <f>Q21-U21</f>
        <v/>
      </c>
      <c r="W21" s="223">
        <f>(Q21/U21-1)</f>
        <v/>
      </c>
      <c r="X21" s="163" t="n"/>
    </row>
    <row r="22" ht="15" customHeight="1">
      <c r="A22" s="550">
        <f>'Cumul annuel'!A22</f>
        <v/>
      </c>
      <c r="B22" s="1321" t="n"/>
      <c r="C22" s="1018">
        <f>D22-B22</f>
        <v/>
      </c>
      <c r="D22" s="1019" t="n"/>
      <c r="E22" s="1020" t="n"/>
      <c r="F22" s="1020" t="n"/>
      <c r="G22" s="1021" t="n"/>
      <c r="H22" s="1021" t="n"/>
      <c r="I22" s="1020">
        <f>G22+H22</f>
        <v/>
      </c>
      <c r="J22" s="1020" t="n"/>
      <c r="K22" s="1020" t="n"/>
      <c r="L22" s="1020" t="n"/>
      <c r="M22" s="1020" t="n"/>
      <c r="N22" s="1022">
        <f>J22+I22+F22+E22+L22+M22+K22</f>
        <v/>
      </c>
      <c r="O22" s="1023">
        <f>N22+D22</f>
        <v/>
      </c>
      <c r="P22" s="550">
        <f>'Cumul annuel'!A22</f>
        <v/>
      </c>
      <c r="Q22" s="1024">
        <f>D22</f>
        <v/>
      </c>
      <c r="R22" s="1025" t="n">
        <v>0</v>
      </c>
      <c r="S22" s="1026">
        <f>Q22-R22</f>
        <v/>
      </c>
      <c r="T22" s="223">
        <f>Q22/R22-1</f>
        <v/>
      </c>
      <c r="U22" s="1024" t="n">
        <v>5677494</v>
      </c>
      <c r="V22" s="1026">
        <f>Q22-U22</f>
        <v/>
      </c>
      <c r="W22" s="223">
        <f>(Q22/U22-1)</f>
        <v/>
      </c>
      <c r="X22" s="163" t="n"/>
    </row>
    <row r="23" ht="15" customHeight="1">
      <c r="A23" s="550">
        <f>'Cumul annuel'!A23</f>
        <v/>
      </c>
      <c r="B23" s="1321" t="n"/>
      <c r="C23" s="1018">
        <f>D23-B23</f>
        <v/>
      </c>
      <c r="D23" s="1019" t="n"/>
      <c r="E23" s="1020" t="n"/>
      <c r="F23" s="1020" t="n"/>
      <c r="G23" s="1021" t="n"/>
      <c r="H23" s="1021" t="n"/>
      <c r="I23" s="1020">
        <f>G23+H23</f>
        <v/>
      </c>
      <c r="J23" s="1020" t="n"/>
      <c r="K23" s="1020" t="n"/>
      <c r="L23" s="1020" t="n"/>
      <c r="M23" s="1020" t="n"/>
      <c r="N23" s="1022">
        <f>J23+I23+F23+E23+L23+M23+K23</f>
        <v/>
      </c>
      <c r="O23" s="1023">
        <f>N23+D23</f>
        <v/>
      </c>
      <c r="P23" s="550">
        <f>'Cumul annuel'!A23</f>
        <v/>
      </c>
      <c r="Q23" s="1024">
        <f>D23</f>
        <v/>
      </c>
      <c r="R23" s="1025" t="n">
        <v>0</v>
      </c>
      <c r="S23" s="1026">
        <f>Q23-R23</f>
        <v/>
      </c>
      <c r="T23" s="223">
        <f>Q23/R23-1</f>
        <v/>
      </c>
      <c r="U23" s="1024" t="n">
        <v>0</v>
      </c>
      <c r="V23" s="1026">
        <f>Q23-U23</f>
        <v/>
      </c>
      <c r="W23" s="223">
        <f>(Q23/U23-1)</f>
        <v/>
      </c>
      <c r="X23" s="163" t="n"/>
    </row>
    <row r="24">
      <c r="A24" s="550">
        <f>'Cumul annuel'!A24</f>
        <v/>
      </c>
      <c r="B24" s="1321" t="n"/>
      <c r="C24" s="1018">
        <f>D24-B24</f>
        <v/>
      </c>
      <c r="D24" s="1019" t="n"/>
      <c r="E24" s="1020" t="n"/>
      <c r="F24" s="1020" t="n"/>
      <c r="G24" s="1021" t="n"/>
      <c r="H24" s="1021" t="n"/>
      <c r="I24" s="1020">
        <f>G24+H24</f>
        <v/>
      </c>
      <c r="J24" s="1020" t="n"/>
      <c r="K24" s="1020" t="n"/>
      <c r="L24" s="1020" t="n"/>
      <c r="M24" s="1020" t="n"/>
      <c r="N24" s="1022">
        <f>J24+I24+F24+E24+L24+M24+K24</f>
        <v/>
      </c>
      <c r="O24" s="1023">
        <f>N24+D24</f>
        <v/>
      </c>
      <c r="P24" s="550">
        <f>'Cumul annuel'!A24</f>
        <v/>
      </c>
      <c r="Q24" s="1024">
        <f>D24</f>
        <v/>
      </c>
      <c r="R24" s="1025" t="n">
        <v>0</v>
      </c>
      <c r="S24" s="1026">
        <f>Q24-R24</f>
        <v/>
      </c>
      <c r="T24" s="223">
        <f>Q24/R24-1</f>
        <v/>
      </c>
      <c r="U24" s="1024" t="n">
        <v>0</v>
      </c>
      <c r="V24" s="1026">
        <f>Q24-U24</f>
        <v/>
      </c>
      <c r="W24" s="223">
        <f>(Q24/U24-1)</f>
        <v/>
      </c>
      <c r="X24" s="163" t="n"/>
    </row>
    <row r="25">
      <c r="A25" s="550">
        <f>'Cumul annuel'!A25</f>
        <v/>
      </c>
      <c r="B25" s="1321" t="n"/>
      <c r="C25" s="1018">
        <f>D25-B25</f>
        <v/>
      </c>
      <c r="D25" s="1019" t="n"/>
      <c r="E25" s="1020" t="n"/>
      <c r="F25" s="1020" t="n"/>
      <c r="G25" s="1021" t="n"/>
      <c r="H25" s="1021" t="n"/>
      <c r="I25" s="1020">
        <f>G25+H25</f>
        <v/>
      </c>
      <c r="J25" s="1020" t="n"/>
      <c r="K25" s="1020" t="n"/>
      <c r="L25" s="1020" t="n"/>
      <c r="M25" s="1020" t="n"/>
      <c r="N25" s="1022">
        <f>J25+I25+F25+E25+L25+M25+K25</f>
        <v/>
      </c>
      <c r="O25" s="1023">
        <f>N25+D25</f>
        <v/>
      </c>
      <c r="P25" s="550">
        <f>'Cumul annuel'!A25</f>
        <v/>
      </c>
      <c r="Q25" s="1024">
        <f>D25</f>
        <v/>
      </c>
      <c r="R25" s="1025" t="n">
        <v>0</v>
      </c>
      <c r="S25" s="1026">
        <f>Q25-R25</f>
        <v/>
      </c>
      <c r="T25" s="223">
        <f>Q25/R25-1</f>
        <v/>
      </c>
      <c r="U25" s="1024" t="n">
        <v>0</v>
      </c>
      <c r="V25" s="1026">
        <f>Q25-U25</f>
        <v/>
      </c>
      <c r="W25" s="223">
        <f>(Q25/U25-1)</f>
        <v/>
      </c>
      <c r="X25" s="163" t="n"/>
    </row>
    <row r="26" ht="15" customHeight="1">
      <c r="A26" s="550">
        <f>'Cumul annuel'!A26</f>
        <v/>
      </c>
      <c r="B26" s="1321" t="n"/>
      <c r="C26" s="1018">
        <f>D26-B26</f>
        <v/>
      </c>
      <c r="D26" s="1019" t="n"/>
      <c r="E26" s="1020" t="n"/>
      <c r="F26" s="1020" t="n"/>
      <c r="G26" s="1021" t="n"/>
      <c r="H26" s="1021" t="n"/>
      <c r="I26" s="1020">
        <f>G26+H26</f>
        <v/>
      </c>
      <c r="J26" s="1020" t="n"/>
      <c r="K26" s="821" t="n"/>
      <c r="L26" s="1020" t="n"/>
      <c r="M26" s="1020" t="n"/>
      <c r="N26" s="1022">
        <f>J26+I26+F26+E26+L26+M26+K26</f>
        <v/>
      </c>
      <c r="O26" s="1023">
        <f>N26+D26</f>
        <v/>
      </c>
      <c r="P26" s="550">
        <f>'Cumul annuel'!A26</f>
        <v/>
      </c>
      <c r="Q26" s="1024">
        <f>D26</f>
        <v/>
      </c>
      <c r="R26" s="1025" t="n">
        <v>833333.3333333334</v>
      </c>
      <c r="S26" s="1026">
        <f>Q26-R26</f>
        <v/>
      </c>
      <c r="T26" s="223">
        <f>Q26/R26-1</f>
        <v/>
      </c>
      <c r="U26" s="1024" t="n">
        <v>-108074</v>
      </c>
      <c r="V26" s="1026">
        <f>Q26-U26</f>
        <v/>
      </c>
      <c r="W26" s="223">
        <f>(Q26/U26-1)</f>
        <v/>
      </c>
      <c r="X26" s="163" t="n"/>
    </row>
    <row r="27" ht="15" customHeight="1">
      <c r="A27" s="550">
        <f>'Cumul annuel'!A27</f>
        <v/>
      </c>
      <c r="B27" s="1321" t="n"/>
      <c r="C27" s="1018">
        <f>D27-B27</f>
        <v/>
      </c>
      <c r="D27" s="1019" t="n"/>
      <c r="E27" s="1020" t="n"/>
      <c r="F27" s="1020" t="n"/>
      <c r="G27" s="1021" t="n"/>
      <c r="H27" s="1021" t="n"/>
      <c r="I27" s="1020">
        <f>G27+H27</f>
        <v/>
      </c>
      <c r="J27" s="1020" t="n"/>
      <c r="K27" s="1020" t="n"/>
      <c r="L27" s="1020" t="n"/>
      <c r="M27" s="1020" t="n"/>
      <c r="N27" s="1022">
        <f>J27+I27+F27+E27+L27+M27+K27</f>
        <v/>
      </c>
      <c r="O27" s="1023">
        <f>N27+D27</f>
        <v/>
      </c>
      <c r="P27" s="550">
        <f>'Cumul annuel'!A27</f>
        <v/>
      </c>
      <c r="Q27" s="1024">
        <f>D27</f>
        <v/>
      </c>
      <c r="R27" s="1025" t="n">
        <v>4166666.666666667</v>
      </c>
      <c r="S27" s="1026">
        <f>Q27-R27</f>
        <v/>
      </c>
      <c r="T27" s="223">
        <f>Q27/R27-1</f>
        <v/>
      </c>
      <c r="U27" s="1024" t="n">
        <v>17743000</v>
      </c>
      <c r="V27" s="1026">
        <f>Q27-U27</f>
        <v/>
      </c>
      <c r="W27" s="223">
        <f>(Q27/U27-1)</f>
        <v/>
      </c>
      <c r="X27" s="163" t="n"/>
    </row>
    <row r="28" ht="15" customHeight="1">
      <c r="A28" s="550">
        <f>'Cumul annuel'!A28</f>
        <v/>
      </c>
      <c r="B28" s="1321" t="n"/>
      <c r="C28" s="1018">
        <f>D28-B28</f>
        <v/>
      </c>
      <c r="D28" s="1019" t="n"/>
      <c r="E28" s="1020" t="n"/>
      <c r="F28" s="1020" t="n"/>
      <c r="G28" s="1021" t="n"/>
      <c r="H28" s="1021" t="n"/>
      <c r="I28" s="1020">
        <f>G28+H28</f>
        <v/>
      </c>
      <c r="J28" s="1020" t="n"/>
      <c r="K28" s="1020" t="n"/>
      <c r="L28" s="1020" t="n"/>
      <c r="M28" s="1020" t="n"/>
      <c r="N28" s="1022">
        <f>J28+I28+F28+E28+L28+M28+K28</f>
        <v/>
      </c>
      <c r="O28" s="1023">
        <f>N28+D28</f>
        <v/>
      </c>
      <c r="P28" s="550">
        <f>'Cumul annuel'!A28</f>
        <v/>
      </c>
      <c r="Q28" s="1024">
        <f>D28</f>
        <v/>
      </c>
      <c r="R28" s="1025" t="n">
        <v>0</v>
      </c>
      <c r="S28" s="1026">
        <f>Q28-R28</f>
        <v/>
      </c>
      <c r="T28" s="223">
        <f>Q28/R28-1</f>
        <v/>
      </c>
      <c r="U28" s="1024" t="n">
        <v>4983000</v>
      </c>
      <c r="V28" s="1026">
        <f>Q28-U28</f>
        <v/>
      </c>
      <c r="W28" s="223">
        <f>(Q28/U28-1)</f>
        <v/>
      </c>
      <c r="X28" s="163" t="n"/>
    </row>
    <row r="29" ht="15" customHeight="1">
      <c r="A29" s="550">
        <f>'Cumul annuel'!A29</f>
        <v/>
      </c>
      <c r="B29" s="1321" t="n"/>
      <c r="C29" s="1018">
        <f>D29-B29</f>
        <v/>
      </c>
      <c r="D29" s="1019" t="n"/>
      <c r="E29" s="1020" t="n"/>
      <c r="F29" s="1020" t="n"/>
      <c r="G29" s="1021" t="n"/>
      <c r="H29" s="1021" t="n"/>
      <c r="I29" s="1020">
        <f>G29+H29</f>
        <v/>
      </c>
      <c r="J29" s="1020" t="n"/>
      <c r="K29" s="1020" t="n"/>
      <c r="L29" s="1020" t="n"/>
      <c r="M29" s="1020" t="n"/>
      <c r="N29" s="1022">
        <f>J29+I29+F29+E29+L29+M29+K29</f>
        <v/>
      </c>
      <c r="O29" s="1023">
        <f>N29+D29</f>
        <v/>
      </c>
      <c r="P29" s="550">
        <f>'Cumul annuel'!A29</f>
        <v/>
      </c>
      <c r="Q29" s="1024">
        <f>D29</f>
        <v/>
      </c>
      <c r="R29" s="1025" t="n">
        <v>37500000</v>
      </c>
      <c r="S29" s="1026">
        <f>Q29-R29</f>
        <v/>
      </c>
      <c r="T29" s="223">
        <f>Q29/R29-1</f>
        <v/>
      </c>
      <c r="U29" s="1024" t="n">
        <v>205284600</v>
      </c>
      <c r="V29" s="1026">
        <f>Q29-U29</f>
        <v/>
      </c>
      <c r="W29" s="223">
        <f>(Q29/U29-1)</f>
        <v/>
      </c>
      <c r="X29" s="163" t="n"/>
    </row>
    <row r="30" ht="15" customHeight="1">
      <c r="A30" s="550">
        <f>'Cumul annuel'!A30</f>
        <v/>
      </c>
      <c r="B30" s="1321" t="n"/>
      <c r="C30" s="1018">
        <f>D30-B30</f>
        <v/>
      </c>
      <c r="D30" s="1019" t="n"/>
      <c r="E30" s="1020" t="n"/>
      <c r="F30" s="1020" t="n"/>
      <c r="G30" s="1021" t="n"/>
      <c r="H30" s="1021" t="n"/>
      <c r="I30" s="1020">
        <f>G30+H30</f>
        <v/>
      </c>
      <c r="J30" s="1020" t="n"/>
      <c r="K30" s="1020" t="n"/>
      <c r="L30" s="1020" t="n"/>
      <c r="M30" s="1020" t="n"/>
      <c r="N30" s="1022">
        <f>J30+I30+F30+E30+L30+M30+K30</f>
        <v/>
      </c>
      <c r="O30" s="1023">
        <f>N30+D30</f>
        <v/>
      </c>
      <c r="P30" s="550">
        <f>'Cumul annuel'!A30</f>
        <v/>
      </c>
      <c r="Q30" s="1024">
        <f>D30</f>
        <v/>
      </c>
      <c r="R30" s="1025" t="n">
        <v>0</v>
      </c>
      <c r="S30" s="1026">
        <f>Q30-R30</f>
        <v/>
      </c>
      <c r="T30" s="223">
        <f>Q30/R30-1</f>
        <v/>
      </c>
      <c r="U30" s="1024" t="n">
        <v>0</v>
      </c>
      <c r="V30" s="1026">
        <f>Q30-U30</f>
        <v/>
      </c>
      <c r="W30" s="223">
        <f>(Q30/U30-1)</f>
        <v/>
      </c>
      <c r="X30" s="163" t="n"/>
    </row>
    <row r="31" ht="15" customHeight="1">
      <c r="A31" s="550">
        <f>'Cumul annuel'!A31</f>
        <v/>
      </c>
      <c r="B31" s="1321" t="n"/>
      <c r="C31" s="1018">
        <f>D31-B31</f>
        <v/>
      </c>
      <c r="D31" s="1019" t="n"/>
      <c r="E31" s="1020" t="n"/>
      <c r="F31" s="1020" t="n"/>
      <c r="G31" s="1021" t="n"/>
      <c r="H31" s="1021" t="n"/>
      <c r="I31" s="1020">
        <f>G31+H31</f>
        <v/>
      </c>
      <c r="J31" s="1020" t="n"/>
      <c r="K31" s="1020" t="n"/>
      <c r="L31" s="1020" t="n"/>
      <c r="M31" s="1020" t="n"/>
      <c r="N31" s="1022">
        <f>J31+I31+F31+E31+L31+M31+K31</f>
        <v/>
      </c>
      <c r="O31" s="1023">
        <f>N31+D31</f>
        <v/>
      </c>
      <c r="P31" s="550">
        <f>'Cumul annuel'!A31</f>
        <v/>
      </c>
      <c r="Q31" s="1024">
        <f>D31</f>
        <v/>
      </c>
      <c r="R31" s="1025" t="n">
        <v>4285714.285714285</v>
      </c>
      <c r="S31" s="1026">
        <f>Q31-R31</f>
        <v/>
      </c>
      <c r="T31" s="223">
        <f>Q31/R31-1</f>
        <v/>
      </c>
      <c r="U31" s="1024" t="n">
        <v>25300000</v>
      </c>
      <c r="V31" s="1026">
        <f>Q31-U31</f>
        <v/>
      </c>
      <c r="W31" s="223">
        <f>(Q31/U31-1)</f>
        <v/>
      </c>
      <c r="X31" s="163" t="n"/>
    </row>
    <row r="32" ht="15" customHeight="1">
      <c r="A32" s="550">
        <f>'Cumul annuel'!A32</f>
        <v/>
      </c>
      <c r="B32" s="1321" t="n"/>
      <c r="C32" s="1018">
        <f>D32-B32</f>
        <v/>
      </c>
      <c r="D32" s="1019" t="n"/>
      <c r="E32" s="1020" t="n"/>
      <c r="F32" s="1020" t="n"/>
      <c r="G32" s="1021" t="n"/>
      <c r="H32" s="1021" t="n"/>
      <c r="I32" s="1020">
        <f>G32+H32</f>
        <v/>
      </c>
      <c r="J32" s="1020" t="n"/>
      <c r="K32" s="1020" t="n"/>
      <c r="L32" s="1020" t="n"/>
      <c r="M32" s="1020" t="n"/>
      <c r="N32" s="1022">
        <f>J32+I32+F32+E32+L32+M32+K32</f>
        <v/>
      </c>
      <c r="O32" s="1023">
        <f>N32+D32</f>
        <v/>
      </c>
      <c r="P32" s="550">
        <f>'Cumul annuel'!A32</f>
        <v/>
      </c>
      <c r="Q32" s="1024">
        <f>D32</f>
        <v/>
      </c>
      <c r="R32" s="1025" t="n">
        <v>0</v>
      </c>
      <c r="S32" s="1026">
        <f>Q32-R32</f>
        <v/>
      </c>
      <c r="T32" s="223">
        <f>Q32/R32-1</f>
        <v/>
      </c>
      <c r="U32" s="1024" t="n">
        <v>0</v>
      </c>
      <c r="V32" s="1026">
        <f>Q32-U32</f>
        <v/>
      </c>
      <c r="W32" s="223">
        <f>(Q32/U32-1)</f>
        <v/>
      </c>
      <c r="X32" s="163" t="n"/>
    </row>
    <row r="33" ht="15" customHeight="1">
      <c r="A33" s="550">
        <f>'Cumul annuel'!A33</f>
        <v/>
      </c>
      <c r="B33" s="1321" t="n"/>
      <c r="C33" s="1018">
        <f>D33-B33</f>
        <v/>
      </c>
      <c r="D33" s="1019" t="n"/>
      <c r="E33" s="1020" t="n"/>
      <c r="F33" s="1020" t="n"/>
      <c r="G33" s="1021" t="n"/>
      <c r="H33" s="1021" t="n"/>
      <c r="I33" s="1020">
        <f>G33+H33</f>
        <v/>
      </c>
      <c r="J33" s="1020" t="n"/>
      <c r="K33" s="1020" t="n"/>
      <c r="L33" s="1020" t="n"/>
      <c r="M33" s="1020" t="n"/>
      <c r="N33" s="1022">
        <f>J33+I33+F33+E33+L33+M33+K33</f>
        <v/>
      </c>
      <c r="O33" s="1023">
        <f>N33+D33</f>
        <v/>
      </c>
      <c r="P33" s="550">
        <f>'Cumul annuel'!A33</f>
        <v/>
      </c>
      <c r="Q33" s="1024">
        <f>D33</f>
        <v/>
      </c>
      <c r="R33" s="1025" t="n">
        <v>0</v>
      </c>
      <c r="S33" s="1026">
        <f>Q33-R33</f>
        <v/>
      </c>
      <c r="T33" s="223">
        <f>Q33/R33-1</f>
        <v/>
      </c>
      <c r="U33" s="1024" t="n">
        <v>0</v>
      </c>
      <c r="V33" s="1026">
        <f>Q33-U33</f>
        <v/>
      </c>
      <c r="W33" s="223">
        <f>(Q33/U33-1)</f>
        <v/>
      </c>
      <c r="X33" s="163" t="n"/>
    </row>
    <row r="34" ht="15" customHeight="1">
      <c r="A34" s="550">
        <f>'Cumul annuel'!A34</f>
        <v/>
      </c>
      <c r="B34" s="1321" t="n"/>
      <c r="C34" s="1018">
        <f>D34-B34</f>
        <v/>
      </c>
      <c r="D34" s="1019" t="n"/>
      <c r="E34" s="1020" t="n"/>
      <c r="F34" s="1020" t="n"/>
      <c r="G34" s="1021" t="n"/>
      <c r="H34" s="1021" t="n"/>
      <c r="I34" s="1020">
        <f>G34+H34</f>
        <v/>
      </c>
      <c r="J34" s="1020" t="n"/>
      <c r="K34" s="1020" t="n"/>
      <c r="L34" s="1020" t="n"/>
      <c r="M34" s="1020" t="n"/>
      <c r="N34" s="1022">
        <f>J34+I34+F34+E34+L34+M34+K34</f>
        <v/>
      </c>
      <c r="O34" s="1023">
        <f>N34+D34</f>
        <v/>
      </c>
      <c r="P34" s="550">
        <f>'Cumul annuel'!A34</f>
        <v/>
      </c>
      <c r="Q34" s="1024">
        <f>D34</f>
        <v/>
      </c>
      <c r="R34" s="1025" t="n">
        <v>0</v>
      </c>
      <c r="S34" s="1026">
        <f>Q34-R34</f>
        <v/>
      </c>
      <c r="T34" s="223">
        <f>Q34/R34-1</f>
        <v/>
      </c>
      <c r="U34" s="1024" t="n">
        <v>0</v>
      </c>
      <c r="V34" s="1026">
        <f>Q34-U34</f>
        <v/>
      </c>
      <c r="W34" s="223">
        <f>(Q34/U34-1)</f>
        <v/>
      </c>
      <c r="X34" s="163" t="n"/>
    </row>
    <row r="35" ht="15" customHeight="1">
      <c r="A35" s="550">
        <f>'Cumul annuel'!A35</f>
        <v/>
      </c>
      <c r="B35" s="1321" t="n"/>
      <c r="C35" s="1018">
        <f>D35-B35</f>
        <v/>
      </c>
      <c r="D35" s="1019" t="n"/>
      <c r="E35" s="1020" t="n"/>
      <c r="F35" s="1020" t="n"/>
      <c r="G35" s="1021" t="n"/>
      <c r="H35" s="1021" t="n"/>
      <c r="I35" s="1020">
        <f>G35+H35</f>
        <v/>
      </c>
      <c r="J35" s="1020" t="n"/>
      <c r="K35" s="1020" t="n"/>
      <c r="L35" s="1020" t="n"/>
      <c r="M35" s="1020" t="n"/>
      <c r="N35" s="1022">
        <f>J35+I35+F35+E35+L35+M35+K35</f>
        <v/>
      </c>
      <c r="O35" s="1023">
        <f>N35+D35</f>
        <v/>
      </c>
      <c r="P35" s="550">
        <f>'Cumul annuel'!A35</f>
        <v/>
      </c>
      <c r="Q35" s="1024">
        <f>D35</f>
        <v/>
      </c>
      <c r="R35" s="1025" t="n">
        <v>66666.66666666667</v>
      </c>
      <c r="S35" s="1026">
        <f>Q35-R35</f>
        <v/>
      </c>
      <c r="T35" s="223">
        <f>Q35/R35-1</f>
        <v/>
      </c>
      <c r="U35" s="1024" t="n">
        <v>360000</v>
      </c>
      <c r="V35" s="1026">
        <f>Q35-U35</f>
        <v/>
      </c>
      <c r="W35" s="223">
        <f>(Q35/U35-1)</f>
        <v/>
      </c>
      <c r="X35" s="163" t="n"/>
    </row>
    <row r="36" ht="15" customFormat="1" customHeight="1" s="5">
      <c r="A36" s="550">
        <f>'Cumul annuel'!A36</f>
        <v/>
      </c>
      <c r="B36" s="1321" t="n"/>
      <c r="C36" s="1018">
        <f>D36-B36</f>
        <v/>
      </c>
      <c r="D36" s="1019" t="n"/>
      <c r="E36" s="1020" t="n"/>
      <c r="F36" s="1020" t="n"/>
      <c r="G36" s="1021" t="n"/>
      <c r="H36" s="1021" t="n"/>
      <c r="I36" s="1020">
        <f>G36+H36</f>
        <v/>
      </c>
      <c r="J36" s="1020" t="n"/>
      <c r="K36" s="1020" t="n"/>
      <c r="L36" s="1020" t="n"/>
      <c r="M36" s="1020" t="n"/>
      <c r="N36" s="1022">
        <f>J36+I36+F36+E36+L36+M36+K36</f>
        <v/>
      </c>
      <c r="O36" s="1023">
        <f>N36+D36</f>
        <v/>
      </c>
      <c r="P36" s="550">
        <f>'Cumul annuel'!A36</f>
        <v/>
      </c>
      <c r="Q36" s="1024">
        <f>D36</f>
        <v/>
      </c>
      <c r="R36" s="1025" t="n">
        <v>0</v>
      </c>
      <c r="S36" s="1026">
        <f>Q36-R36</f>
        <v/>
      </c>
      <c r="T36" s="223">
        <f>Q36/R36-1</f>
        <v/>
      </c>
      <c r="U36" s="1024" t="n">
        <v>6532000</v>
      </c>
      <c r="V36" s="1026">
        <f>Q36-U36</f>
        <v/>
      </c>
      <c r="W36" s="223">
        <f>(Q36/U36-1)</f>
        <v/>
      </c>
      <c r="X36" s="163" t="n"/>
    </row>
    <row r="37" ht="15" customHeight="1">
      <c r="A37" s="550">
        <f>'Cumul annuel'!A37</f>
        <v/>
      </c>
      <c r="B37" s="1321" t="n"/>
      <c r="C37" s="1018">
        <f>D37-B37</f>
        <v/>
      </c>
      <c r="D37" s="1019" t="n"/>
      <c r="E37" s="1020" t="n"/>
      <c r="F37" s="1020" t="n"/>
      <c r="G37" s="1021" t="n"/>
      <c r="H37" s="1021" t="n"/>
      <c r="I37" s="1020">
        <f>G37+H37</f>
        <v/>
      </c>
      <c r="J37" s="1020" t="n"/>
      <c r="K37" s="1020" t="n"/>
      <c r="L37" s="1020" t="n"/>
      <c r="M37" s="1020" t="n"/>
      <c r="N37" s="1022">
        <f>J37+I37+F37+E37+L37+M37+K37</f>
        <v/>
      </c>
      <c r="O37" s="1023">
        <f>N37+D37</f>
        <v/>
      </c>
      <c r="P37" s="550">
        <f>'Cumul annuel'!A37</f>
        <v/>
      </c>
      <c r="Q37" s="1024">
        <f>D37</f>
        <v/>
      </c>
      <c r="R37" s="1025" t="n">
        <v>833333.3333333334</v>
      </c>
      <c r="S37" s="1026">
        <f>Q37-R37</f>
        <v/>
      </c>
      <c r="T37" s="223">
        <f>Q37/R37-1</f>
        <v/>
      </c>
      <c r="U37" s="1024" t="n">
        <v>0</v>
      </c>
      <c r="V37" s="1026">
        <f>Q37-U37</f>
        <v/>
      </c>
      <c r="W37" s="223">
        <f>(Q37/U37-1)</f>
        <v/>
      </c>
      <c r="X37" s="163" t="n"/>
    </row>
    <row r="38" ht="15" customHeight="1">
      <c r="A38" s="550">
        <f>'Cumul annuel'!A38</f>
        <v/>
      </c>
      <c r="B38" s="1321" t="n"/>
      <c r="C38" s="1018">
        <f>D38-B38</f>
        <v/>
      </c>
      <c r="D38" s="1019" t="n"/>
      <c r="E38" s="1020" t="n"/>
      <c r="F38" s="1020" t="n"/>
      <c r="G38" s="1021" t="n"/>
      <c r="H38" s="1021" t="n"/>
      <c r="I38" s="1020">
        <f>G38+H38</f>
        <v/>
      </c>
      <c r="J38" s="1020" t="n"/>
      <c r="K38" s="1020" t="n"/>
      <c r="L38" s="1020" t="n"/>
      <c r="M38" s="1020" t="n"/>
      <c r="N38" s="1022">
        <f>J38+I38+F38+E38+L38+M38+K38</f>
        <v/>
      </c>
      <c r="O38" s="1023">
        <f>N38+D38</f>
        <v/>
      </c>
      <c r="P38" s="550">
        <f>'Cumul annuel'!A38</f>
        <v/>
      </c>
      <c r="Q38" s="1024">
        <f>D38</f>
        <v/>
      </c>
      <c r="R38" s="1025" t="n">
        <v>55833333.33333334</v>
      </c>
      <c r="S38" s="1026">
        <f>Q38-R38</f>
        <v/>
      </c>
      <c r="T38" s="223">
        <f>Q38/R38-1</f>
        <v/>
      </c>
      <c r="U38" s="1024" t="n">
        <v>107698186</v>
      </c>
      <c r="V38" s="1026">
        <f>Q38-U38</f>
        <v/>
      </c>
      <c r="W38" s="223">
        <f>(Q38/U38-1)</f>
        <v/>
      </c>
      <c r="X38" s="163" t="n"/>
    </row>
    <row r="39" ht="15" customHeight="1">
      <c r="A39" s="550">
        <f>'Cumul annuel'!A39</f>
        <v/>
      </c>
      <c r="B39" s="1321" t="n"/>
      <c r="C39" s="1018">
        <f>D39-B39</f>
        <v/>
      </c>
      <c r="D39" s="1019" t="n"/>
      <c r="E39" s="1020" t="n"/>
      <c r="F39" s="1020" t="n"/>
      <c r="G39" s="1021" t="n"/>
      <c r="H39" s="1021" t="n"/>
      <c r="I39" s="1020">
        <f>G39+H39</f>
        <v/>
      </c>
      <c r="J39" s="1020" t="n"/>
      <c r="K39" s="1020" t="n"/>
      <c r="L39" s="1020" t="n"/>
      <c r="M39" s="1020" t="n"/>
      <c r="N39" s="1022">
        <f>J39+I39+F39+E39+L39+M39+K39</f>
        <v/>
      </c>
      <c r="O39" s="1023">
        <f>N39+D39</f>
        <v/>
      </c>
      <c r="P39" s="550">
        <f>'Cumul annuel'!A39</f>
        <v/>
      </c>
      <c r="Q39" s="1024">
        <f>D39</f>
        <v/>
      </c>
      <c r="R39" s="1025" t="n">
        <v>200000</v>
      </c>
      <c r="S39" s="1026">
        <f>Q39-R39</f>
        <v/>
      </c>
      <c r="T39" s="223">
        <f>Q39/R39-1</f>
        <v/>
      </c>
      <c r="U39" s="1024" t="n">
        <v>0</v>
      </c>
      <c r="V39" s="1026">
        <f>Q39-U39</f>
        <v/>
      </c>
      <c r="W39" s="223">
        <f>(Q39/U39-1)</f>
        <v/>
      </c>
      <c r="X39" s="163" t="n"/>
    </row>
    <row r="40">
      <c r="A40" s="550">
        <f>'Cumul annuel'!A40</f>
        <v/>
      </c>
      <c r="B40" s="1321" t="n"/>
      <c r="C40" s="1018">
        <f>D40-B40</f>
        <v/>
      </c>
      <c r="D40" s="1019" t="n"/>
      <c r="E40" s="1020" t="n"/>
      <c r="F40" s="1020" t="n"/>
      <c r="G40" s="1021" t="n"/>
      <c r="H40" s="1021" t="n"/>
      <c r="I40" s="1020">
        <f>G40+H40</f>
        <v/>
      </c>
      <c r="J40" s="1020" t="n"/>
      <c r="K40" s="1020" t="n"/>
      <c r="L40" s="1020" t="n"/>
      <c r="M40" s="1020" t="n"/>
      <c r="N40" s="1022">
        <f>J40+I40+F40+E40+L40+M40+K40</f>
        <v/>
      </c>
      <c r="O40" s="1023">
        <f>N40+D40</f>
        <v/>
      </c>
      <c r="P40" s="550">
        <f>'Cumul annuel'!A40</f>
        <v/>
      </c>
      <c r="Q40" s="1024">
        <f>D40</f>
        <v/>
      </c>
      <c r="R40" s="1025" t="n">
        <v>0</v>
      </c>
      <c r="S40" s="1026">
        <f>Q40-R40</f>
        <v/>
      </c>
      <c r="T40" s="223">
        <f>Q40/R40-1</f>
        <v/>
      </c>
      <c r="U40" s="1024" t="n">
        <v>0</v>
      </c>
      <c r="V40" s="1026">
        <f>Q40-U40</f>
        <v/>
      </c>
      <c r="W40" s="223">
        <f>(Q40/U40-1)</f>
        <v/>
      </c>
      <c r="X40" s="163" t="n"/>
    </row>
    <row r="41" customFormat="1" s="5">
      <c r="A41" s="550">
        <f>'Cumul annuel'!A41</f>
        <v/>
      </c>
      <c r="B41" s="1321" t="n"/>
      <c r="C41" s="1018">
        <f>D41-B41</f>
        <v/>
      </c>
      <c r="D41" s="1019" t="n"/>
      <c r="E41" s="1020" t="n"/>
      <c r="F41" s="1020" t="n"/>
      <c r="G41" s="1021" t="n"/>
      <c r="H41" s="1021" t="n"/>
      <c r="I41" s="1020">
        <f>G41+H41</f>
        <v/>
      </c>
      <c r="J41" s="1020" t="n"/>
      <c r="K41" s="1020" t="n"/>
      <c r="L41" s="1020" t="n"/>
      <c r="M41" s="1020" t="n"/>
      <c r="N41" s="1022">
        <f>J41+I41+F41+E41+L41+M41+K41</f>
        <v/>
      </c>
      <c r="O41" s="1023">
        <f>N41+D41</f>
        <v/>
      </c>
      <c r="P41" s="550">
        <f>'Cumul annuel'!A41</f>
        <v/>
      </c>
      <c r="Q41" s="1024">
        <f>D41</f>
        <v/>
      </c>
      <c r="R41" s="1025" t="n">
        <v>0</v>
      </c>
      <c r="S41" s="1026">
        <f>Q41-R41</f>
        <v/>
      </c>
      <c r="T41" s="223">
        <f>Q41/R41-1</f>
        <v/>
      </c>
      <c r="U41" s="1024" t="n">
        <v>0</v>
      </c>
      <c r="V41" s="1026">
        <f>Q41-U41</f>
        <v/>
      </c>
      <c r="W41" s="223">
        <f>(Q41/U41-1)</f>
        <v/>
      </c>
      <c r="X41" s="163" t="n"/>
    </row>
    <row r="42">
      <c r="A42" s="550">
        <f>'Cumul annuel'!A42</f>
        <v/>
      </c>
      <c r="B42" s="1321" t="n"/>
      <c r="C42" s="1018">
        <f>D42-B42</f>
        <v/>
      </c>
      <c r="D42" s="1019" t="n"/>
      <c r="E42" s="1020" t="n"/>
      <c r="F42" s="1020" t="n"/>
      <c r="G42" s="1021" t="n"/>
      <c r="H42" s="1021" t="n"/>
      <c r="I42" s="1020">
        <f>G42+H42</f>
        <v/>
      </c>
      <c r="J42" s="1020" t="n"/>
      <c r="K42" s="1020" t="n"/>
      <c r="L42" s="1020" t="n"/>
      <c r="M42" s="1020" t="n"/>
      <c r="N42" s="1022">
        <f>J42+I42+F42+E42+L42+M42+K42</f>
        <v/>
      </c>
      <c r="O42" s="1023">
        <f>N42+D42</f>
        <v/>
      </c>
      <c r="P42" s="550">
        <f>'Cumul annuel'!A42</f>
        <v/>
      </c>
      <c r="Q42" s="1024">
        <f>D42</f>
        <v/>
      </c>
      <c r="R42" s="1025" t="n">
        <v>1000000</v>
      </c>
      <c r="S42" s="1026">
        <f>Q42-R42</f>
        <v/>
      </c>
      <c r="T42" s="223">
        <f>Q42/R42-1</f>
        <v/>
      </c>
      <c r="U42" s="1024" t="n">
        <v>0</v>
      </c>
      <c r="V42" s="1026">
        <f>Q42-U42</f>
        <v/>
      </c>
      <c r="W42" s="223">
        <f>(Q42/U42-1)</f>
        <v/>
      </c>
      <c r="X42" s="163" t="n"/>
    </row>
    <row r="43">
      <c r="A43" s="550">
        <f>'Cumul annuel'!A43</f>
        <v/>
      </c>
      <c r="B43" s="1321" t="n"/>
      <c r="C43" s="1018">
        <f>D43-B43</f>
        <v/>
      </c>
      <c r="D43" s="1019" t="n"/>
      <c r="E43" s="1020" t="n"/>
      <c r="F43" s="1020" t="n"/>
      <c r="G43" s="1021" t="n"/>
      <c r="H43" s="1021" t="n"/>
      <c r="I43" s="1020">
        <f>G43+H43</f>
        <v/>
      </c>
      <c r="J43" s="1020" t="n"/>
      <c r="K43" s="1020" t="n"/>
      <c r="L43" s="1020" t="n"/>
      <c r="M43" s="1020" t="n"/>
      <c r="N43" s="1022">
        <f>J43+I43+F43+E43+L43+M43+K43</f>
        <v/>
      </c>
      <c r="O43" s="1023">
        <f>N43+D43</f>
        <v/>
      </c>
      <c r="P43" s="550">
        <f>'Cumul annuel'!A43</f>
        <v/>
      </c>
      <c r="Q43" s="1024">
        <f>D43</f>
        <v/>
      </c>
      <c r="R43" s="1025" t="n">
        <v>0</v>
      </c>
      <c r="S43" s="1026">
        <f>Q43-R43</f>
        <v/>
      </c>
      <c r="T43" s="223">
        <f>Q43/R43-1</f>
        <v/>
      </c>
      <c r="U43" s="1024" t="n">
        <v>0</v>
      </c>
      <c r="V43" s="1026">
        <f>Q43-U43</f>
        <v/>
      </c>
      <c r="W43" s="223">
        <f>(Q43/U43-1)</f>
        <v/>
      </c>
      <c r="X43" s="163" t="n"/>
    </row>
    <row r="44">
      <c r="A44" s="550">
        <f>'Cumul annuel'!A44</f>
        <v/>
      </c>
      <c r="B44" s="1321" t="n"/>
      <c r="C44" s="1018">
        <f>D44-B44</f>
        <v/>
      </c>
      <c r="D44" s="1019" t="n"/>
      <c r="E44" s="1020" t="n"/>
      <c r="F44" s="1020" t="n"/>
      <c r="G44" s="1021" t="n"/>
      <c r="H44" s="1021" t="n"/>
      <c r="I44" s="1020">
        <f>G44+H44</f>
        <v/>
      </c>
      <c r="J44" s="1020" t="n"/>
      <c r="K44" s="1020" t="n"/>
      <c r="L44" s="1020" t="n"/>
      <c r="M44" s="1020" t="n"/>
      <c r="N44" s="1022">
        <f>J44+I44+F44+E44+L44+M44+K44</f>
        <v/>
      </c>
      <c r="O44" s="1023">
        <f>N44+D44</f>
        <v/>
      </c>
      <c r="P44" s="550">
        <f>'Cumul annuel'!A44</f>
        <v/>
      </c>
      <c r="Q44" s="1024">
        <f>D44</f>
        <v/>
      </c>
      <c r="R44" s="1025" t="n">
        <v>0</v>
      </c>
      <c r="S44" s="1026">
        <f>Q44-R44</f>
        <v/>
      </c>
      <c r="T44" s="223">
        <f>Q44/R44-1</f>
        <v/>
      </c>
      <c r="U44" s="1024" t="n">
        <v>0</v>
      </c>
      <c r="V44" s="1026">
        <f>Q44-U44</f>
        <v/>
      </c>
      <c r="W44" s="223">
        <f>(Q44/U44-1)</f>
        <v/>
      </c>
      <c r="X44" s="163" t="n"/>
    </row>
    <row r="45">
      <c r="A45" s="550">
        <f>'Cumul annuel'!A45</f>
        <v/>
      </c>
      <c r="B45" s="1321" t="n"/>
      <c r="C45" s="1018">
        <f>D45-B45</f>
        <v/>
      </c>
      <c r="D45" s="1019" t="n"/>
      <c r="E45" s="1020" t="n"/>
      <c r="F45" s="1020" t="n"/>
      <c r="G45" s="1021" t="n"/>
      <c r="H45" s="1021" t="n"/>
      <c r="I45" s="1020">
        <f>G45+H45</f>
        <v/>
      </c>
      <c r="J45" s="1020" t="n"/>
      <c r="K45" s="1020" t="n"/>
      <c r="L45" s="1020" t="n"/>
      <c r="M45" s="1020" t="n"/>
      <c r="N45" s="1022">
        <f>J45+I45+F45+E45+L45+M45+K45</f>
        <v/>
      </c>
      <c r="O45" s="1023">
        <f>N45+D45</f>
        <v/>
      </c>
      <c r="P45" s="550">
        <f>'Cumul annuel'!A45</f>
        <v/>
      </c>
      <c r="Q45" s="1024">
        <f>D45</f>
        <v/>
      </c>
      <c r="R45" s="1025" t="n">
        <v>47222222.22222222</v>
      </c>
      <c r="S45" s="1026">
        <f>Q45-R45</f>
        <v/>
      </c>
      <c r="T45" s="223">
        <f>Q45/R45-1</f>
        <v/>
      </c>
      <c r="U45" s="1024" t="n">
        <v>47567178</v>
      </c>
      <c r="V45" s="1026">
        <f>Q45-U45</f>
        <v/>
      </c>
      <c r="W45" s="223">
        <f>(Q45/U45-1)</f>
        <v/>
      </c>
      <c r="X45" s="163" t="n"/>
    </row>
    <row r="46">
      <c r="A46" s="550">
        <f>'Cumul annuel'!A46</f>
        <v/>
      </c>
      <c r="B46" s="1321" t="n"/>
      <c r="C46" s="1018">
        <f>D46-B46</f>
        <v/>
      </c>
      <c r="D46" s="1019" t="n"/>
      <c r="E46" s="1020" t="n"/>
      <c r="F46" s="1020" t="n"/>
      <c r="G46" s="1021" t="n"/>
      <c r="H46" s="1021" t="n"/>
      <c r="I46" s="1020">
        <f>G46+H46</f>
        <v/>
      </c>
      <c r="J46" s="1020" t="n"/>
      <c r="K46" s="1020" t="n"/>
      <c r="L46" s="1020" t="n"/>
      <c r="M46" s="1020" t="n"/>
      <c r="N46" s="1022">
        <f>J46+I46+F46+E46+L46+M46+K46</f>
        <v/>
      </c>
      <c r="O46" s="1023">
        <f>N46+D46</f>
        <v/>
      </c>
      <c r="P46" s="550">
        <f>'Cumul annuel'!A46</f>
        <v/>
      </c>
      <c r="Q46" s="1024">
        <f>D46</f>
        <v/>
      </c>
      <c r="R46" s="1025" t="n">
        <v>0</v>
      </c>
      <c r="S46" s="1026">
        <f>Q46-R46</f>
        <v/>
      </c>
      <c r="T46" s="223">
        <f>Q46/R46-1</f>
        <v/>
      </c>
      <c r="U46" s="1024" t="n">
        <v>0</v>
      </c>
      <c r="V46" s="1026">
        <f>Q46-U46</f>
        <v/>
      </c>
      <c r="W46" s="223">
        <f>(Q46/U46-1)</f>
        <v/>
      </c>
      <c r="X46" s="163" t="n"/>
    </row>
    <row r="47">
      <c r="A47" s="550">
        <f>'Cumul annuel'!A47</f>
        <v/>
      </c>
      <c r="B47" s="1321" t="n"/>
      <c r="C47" s="1018">
        <f>D47-B47</f>
        <v/>
      </c>
      <c r="D47" s="1019" t="n"/>
      <c r="E47" s="1020" t="n"/>
      <c r="F47" s="1020" t="n"/>
      <c r="G47" s="1021" t="n"/>
      <c r="H47" s="1021" t="n"/>
      <c r="I47" s="1020">
        <f>G47+H47</f>
        <v/>
      </c>
      <c r="J47" s="1020" t="n"/>
      <c r="K47" s="1020" t="n"/>
      <c r="L47" s="1020" t="n"/>
      <c r="M47" s="1020" t="n"/>
      <c r="N47" s="1022">
        <f>J47+I47+F47+E47+L47+M47+K47</f>
        <v/>
      </c>
      <c r="O47" s="1023">
        <f>N47+D47</f>
        <v/>
      </c>
      <c r="P47" s="550">
        <f>'Cumul annuel'!A47</f>
        <v/>
      </c>
      <c r="Q47" s="1024">
        <f>D47</f>
        <v/>
      </c>
      <c r="R47" s="1025" t="n">
        <v>17916666.66666667</v>
      </c>
      <c r="S47" s="1026">
        <f>Q47-R47</f>
        <v/>
      </c>
      <c r="T47" s="223">
        <f>Q47/R47-1</f>
        <v/>
      </c>
      <c r="U47" s="1024" t="n">
        <v>18000000</v>
      </c>
      <c r="V47" s="1026">
        <f>Q47-U47</f>
        <v/>
      </c>
      <c r="W47" s="223">
        <f>(Q47/U47-1)</f>
        <v/>
      </c>
      <c r="X47" s="163" t="n"/>
    </row>
    <row r="48">
      <c r="A48" s="550">
        <f>'Cumul annuel'!A48</f>
        <v/>
      </c>
      <c r="B48" s="1321" t="n"/>
      <c r="C48" s="1018">
        <f>D48-B48</f>
        <v/>
      </c>
      <c r="D48" s="1019" t="n"/>
      <c r="E48" s="1020" t="n"/>
      <c r="F48" s="1020" t="n"/>
      <c r="G48" s="1021" t="n"/>
      <c r="H48" s="1021" t="n"/>
      <c r="I48" s="1020">
        <f>G48+H48</f>
        <v/>
      </c>
      <c r="J48" s="1020" t="n"/>
      <c r="K48" s="1020" t="n"/>
      <c r="L48" s="1020" t="n"/>
      <c r="M48" s="1020" t="n"/>
      <c r="N48" s="1022">
        <f>J48+I48+F48+E48+L48+M48+K48</f>
        <v/>
      </c>
      <c r="O48" s="1023">
        <f>N48+D48</f>
        <v/>
      </c>
      <c r="P48" s="550">
        <f>'Cumul annuel'!A48</f>
        <v/>
      </c>
      <c r="Q48" s="1024">
        <f>D48</f>
        <v/>
      </c>
      <c r="R48" s="1025" t="n">
        <v>400000</v>
      </c>
      <c r="S48" s="1026">
        <f>Q48-R48</f>
        <v/>
      </c>
      <c r="T48" s="223">
        <f>Q48/R48-1</f>
        <v/>
      </c>
      <c r="U48" s="1024" t="n">
        <v>0</v>
      </c>
      <c r="V48" s="1026">
        <f>Q48-U48</f>
        <v/>
      </c>
      <c r="W48" s="223">
        <f>(Q48/U48-1)</f>
        <v/>
      </c>
      <c r="X48" s="163" t="n"/>
    </row>
    <row r="49">
      <c r="A49" s="550">
        <f>'Cumul annuel'!A49</f>
        <v/>
      </c>
      <c r="B49" s="1321" t="n"/>
      <c r="C49" s="1018">
        <f>D49-B49</f>
        <v/>
      </c>
      <c r="D49" s="1019" t="n"/>
      <c r="E49" s="1020" t="n"/>
      <c r="F49" s="1020" t="n"/>
      <c r="G49" s="1021" t="n"/>
      <c r="H49" s="1021" t="n"/>
      <c r="I49" s="1020">
        <f>G49+H49</f>
        <v/>
      </c>
      <c r="J49" s="1020" t="n"/>
      <c r="K49" s="1020" t="n"/>
      <c r="L49" s="1020" t="n"/>
      <c r="M49" s="1020" t="n"/>
      <c r="N49" s="1022">
        <f>J49+I49+F49+E49+L49+M49+K49</f>
        <v/>
      </c>
      <c r="O49" s="1023">
        <f>N49+D49</f>
        <v/>
      </c>
      <c r="P49" s="550">
        <f>'Cumul annuel'!A49</f>
        <v/>
      </c>
      <c r="Q49" s="1024">
        <f>D49</f>
        <v/>
      </c>
      <c r="R49" s="1025" t="n">
        <v>0</v>
      </c>
      <c r="S49" s="1026">
        <f>Q49-R49</f>
        <v/>
      </c>
      <c r="T49" s="223">
        <f>Q49/R49-1</f>
        <v/>
      </c>
      <c r="U49" s="1024" t="n">
        <v>183152686</v>
      </c>
      <c r="V49" s="1026">
        <f>Q49-U49</f>
        <v/>
      </c>
      <c r="W49" s="223">
        <f>(Q49/U49-1)</f>
        <v/>
      </c>
      <c r="X49" s="163" t="n"/>
    </row>
    <row r="50" ht="15" customFormat="1" customHeight="1" s="1003" thickBot="1">
      <c r="A50" s="550">
        <f>'Cumul annuel'!A50</f>
        <v/>
      </c>
      <c r="B50" s="1323" t="n"/>
      <c r="C50" s="1018">
        <f>D50-B50</f>
        <v/>
      </c>
      <c r="D50" s="1019" t="n"/>
      <c r="E50" s="1031" t="n"/>
      <c r="F50" s="1031" t="n"/>
      <c r="G50" s="1032" t="n"/>
      <c r="H50" s="1032" t="n"/>
      <c r="I50" s="1020">
        <f>G50+H50</f>
        <v/>
      </c>
      <c r="J50" s="1031" t="n"/>
      <c r="K50" s="1031" t="n"/>
      <c r="L50" s="1031" t="n"/>
      <c r="M50" s="1031" t="n"/>
      <c r="N50" s="1022">
        <f>J50+I50+F50+E50+L50+M50+K50</f>
        <v/>
      </c>
      <c r="O50" s="1033">
        <f>N50+D50</f>
        <v/>
      </c>
      <c r="P50" s="550">
        <f>'Cumul annuel'!A50</f>
        <v/>
      </c>
      <c r="Q50" s="1024">
        <f>D50</f>
        <v/>
      </c>
      <c r="R50" s="1025" t="n">
        <v>0</v>
      </c>
      <c r="S50" s="1026">
        <f>Q50-R50</f>
        <v/>
      </c>
      <c r="T50" s="223">
        <f>Q50/R50-1</f>
        <v/>
      </c>
      <c r="U50" s="1024" t="n">
        <v>0</v>
      </c>
      <c r="V50" s="1026">
        <f>Q50-U50</f>
        <v/>
      </c>
      <c r="W50" s="223">
        <f>(Q50/U50-1)</f>
        <v/>
      </c>
      <c r="X50" s="163" t="n"/>
    </row>
    <row r="51" ht="15" customHeight="1" thickBot="1">
      <c r="A51" s="90" t="inlineStr">
        <is>
          <t xml:space="preserve">CA TOTAL </t>
        </is>
      </c>
      <c r="B51" s="1035">
        <f>SUM(B4:B50)</f>
        <v/>
      </c>
      <c r="C51" s="1036">
        <f>SUM(C4:C50)</f>
        <v/>
      </c>
      <c r="D51" s="1037">
        <f>SUM(D4:D50)</f>
        <v/>
      </c>
      <c r="E51" s="1038">
        <f>SUM(E4:E50)</f>
        <v/>
      </c>
      <c r="F51" s="1038">
        <f>SUM(F5:F50)</f>
        <v/>
      </c>
      <c r="G51" s="1039">
        <f>SUM(G5:G50)</f>
        <v/>
      </c>
      <c r="H51" s="1039">
        <f>SUM(H5:H50)</f>
        <v/>
      </c>
      <c r="I51" s="1038">
        <f>SUM(I5:I50)</f>
        <v/>
      </c>
      <c r="J51" s="1040">
        <f>SUM(J5:J50)</f>
        <v/>
      </c>
      <c r="K51" s="1040">
        <f>SUM(K5:K50)</f>
        <v/>
      </c>
      <c r="L51" s="1040">
        <f>SUM(L5:L50)</f>
        <v/>
      </c>
      <c r="M51" s="1040">
        <f>SUM(M5:M50)</f>
        <v/>
      </c>
      <c r="N51" s="1041">
        <f>J51+I51+F51+E51+L51+M51+K51</f>
        <v/>
      </c>
      <c r="O51" s="1042">
        <f>N51+D51</f>
        <v/>
      </c>
      <c r="P51" s="13" t="inlineStr">
        <is>
          <t xml:space="preserve">ACTIVITE BASE </t>
        </is>
      </c>
      <c r="Q51" s="1043">
        <f>SUM(Q4:Q50)</f>
        <v/>
      </c>
      <c r="R51" s="1043">
        <f>SUM(R4:R50)</f>
        <v/>
      </c>
      <c r="S51" s="1045">
        <f>Q51-R51</f>
        <v/>
      </c>
      <c r="T51" s="278">
        <f>Q51/R51-1</f>
        <v/>
      </c>
      <c r="U51" s="1043">
        <f>SUM(U4:U50)</f>
        <v/>
      </c>
      <c r="V51" s="1047">
        <f>Q51-U51</f>
        <v/>
      </c>
      <c r="W51" s="278">
        <f>(Q51/U51-1)</f>
        <v/>
      </c>
      <c r="X51" s="248" t="n"/>
    </row>
    <row r="52" ht="15" customFormat="1" customHeight="1" s="1003" thickBot="1">
      <c r="A52" s="257" t="inlineStr">
        <is>
          <t>Rétrocession</t>
        </is>
      </c>
      <c r="B52" s="1048" t="n"/>
      <c r="C52" s="1049" t="n"/>
      <c r="D52" s="1049" t="n"/>
      <c r="E52" s="1048" t="n"/>
      <c r="F52" s="1048" t="n"/>
      <c r="G52" s="1048" t="n"/>
      <c r="H52" s="1048" t="n"/>
      <c r="I52" s="1048" t="n"/>
      <c r="J52" s="1050" t="n"/>
      <c r="K52" s="1051" t="n"/>
      <c r="L52" s="1052" t="n"/>
      <c r="M52" s="1052" t="n"/>
      <c r="N52" s="1053">
        <f>J52+I52+F52+E52</f>
        <v/>
      </c>
      <c r="P52" s="235" t="inlineStr">
        <is>
          <t xml:space="preserve">Rétrocessions </t>
        </is>
      </c>
      <c r="Q52" s="233" t="n"/>
      <c r="R52" s="233" t="n"/>
      <c r="S52" s="233" t="n"/>
      <c r="T52" s="234" t="n"/>
      <c r="U52" s="133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54" t="n"/>
      <c r="C53" s="1055" t="n"/>
      <c r="D53" s="1055" t="n"/>
      <c r="E53" s="1056">
        <f>E52/E51</f>
        <v/>
      </c>
      <c r="F53" s="1056">
        <f>F52/F51</f>
        <v/>
      </c>
      <c r="G53" s="1056" t="n"/>
      <c r="H53" s="1056" t="n"/>
      <c r="I53" s="1056">
        <f>I52/I51</f>
        <v/>
      </c>
      <c r="J53" s="1057">
        <f>J52/J51</f>
        <v/>
      </c>
      <c r="K53" s="1058" t="n"/>
      <c r="L53" s="1058" t="n"/>
      <c r="M53" s="1058" t="n"/>
      <c r="N53" s="1059">
        <f>N52/N51</f>
        <v/>
      </c>
      <c r="O53" s="1003" t="n"/>
      <c r="P53" s="229" t="inlineStr">
        <is>
          <t>IMAR</t>
        </is>
      </c>
      <c r="Q53" s="1060">
        <f>E52</f>
        <v/>
      </c>
      <c r="R53" s="1025" t="n"/>
      <c r="S53" s="1026">
        <f>Q53-R53</f>
        <v/>
      </c>
      <c r="T53" s="678">
        <f>Q53/R53-1</f>
        <v/>
      </c>
      <c r="U53" s="1060" t="n"/>
      <c r="V53" s="1062">
        <f>Q53-U53</f>
        <v/>
      </c>
      <c r="W53" s="678">
        <f>(Q53/U53-1)</f>
        <v/>
      </c>
      <c r="X53" s="225" t="n"/>
    </row>
    <row r="54" ht="19" customHeight="1" thickBot="1">
      <c r="A54" s="10" t="inlineStr">
        <is>
          <t>TOTAL Après rétrocession</t>
        </is>
      </c>
      <c r="B54" s="1063" t="n"/>
      <c r="C54" s="12" t="n"/>
      <c r="D54" s="1063">
        <f>D52+D51</f>
        <v/>
      </c>
      <c r="E54" s="1063">
        <f>E51-E52</f>
        <v/>
      </c>
      <c r="F54" s="1063">
        <f>F51-F52</f>
        <v/>
      </c>
      <c r="G54" s="1063" t="n"/>
      <c r="H54" s="1063" t="n"/>
      <c r="I54" s="1063">
        <f>I51-I52</f>
        <v/>
      </c>
      <c r="J54" s="1063">
        <f>J51-J52</f>
        <v/>
      </c>
      <c r="K54" s="1064">
        <f>K51</f>
        <v/>
      </c>
      <c r="L54" s="1064">
        <f>L51</f>
        <v/>
      </c>
      <c r="M54" s="1064">
        <f>M51</f>
        <v/>
      </c>
      <c r="N54" s="1065">
        <f>SUM(D54:M54)</f>
        <v/>
      </c>
      <c r="O54" s="1003" t="n"/>
      <c r="P54" s="231" t="inlineStr">
        <is>
          <t>HINT</t>
        </is>
      </c>
      <c r="Q54" s="1066">
        <f>F52</f>
        <v/>
      </c>
      <c r="R54" s="1025" t="n"/>
      <c r="S54" s="1026">
        <f>Q54-R54</f>
        <v/>
      </c>
      <c r="T54" s="678">
        <f>Q54/R54-1</f>
        <v/>
      </c>
      <c r="U54" s="1066" t="n"/>
      <c r="V54" s="1062">
        <f>Q54-U54</f>
        <v/>
      </c>
      <c r="W54" s="678">
        <f>(Q54/U54-1)</f>
        <v/>
      </c>
      <c r="X54" s="1068" t="n"/>
    </row>
    <row r="55" ht="15.5" customHeight="1">
      <c r="M55" s="1003" t="n"/>
      <c r="N55" s="1003" t="n"/>
      <c r="O55" s="1003" t="n"/>
      <c r="P55" s="231" t="inlineStr">
        <is>
          <t>AER</t>
        </is>
      </c>
      <c r="Q55" s="1066">
        <f>I52</f>
        <v/>
      </c>
      <c r="R55" s="1025" t="n"/>
      <c r="S55" s="1026">
        <f>Q55-R55</f>
        <v/>
      </c>
      <c r="T55" s="678">
        <f>Q55/R55-1</f>
        <v/>
      </c>
      <c r="U55" s="1066" t="n"/>
      <c r="V55" s="1062">
        <f>Q55-U55</f>
        <v/>
      </c>
      <c r="W55" s="678">
        <f>(Q55/U55-1)</f>
        <v/>
      </c>
      <c r="X55" s="163" t="n"/>
    </row>
    <row r="56" ht="19" customHeight="1" thickBot="1">
      <c r="C56" s="1069" t="n"/>
      <c r="D56" s="1069" t="n"/>
      <c r="E56" s="695" t="n"/>
      <c r="M56" s="1003" t="n"/>
      <c r="N56" s="1003" t="n"/>
      <c r="O56" s="1070" t="n"/>
      <c r="P56" s="236" t="inlineStr">
        <is>
          <t>EMAR</t>
        </is>
      </c>
      <c r="Q56" s="1071">
        <f>J52</f>
        <v/>
      </c>
      <c r="R56" s="1025" t="n"/>
      <c r="S56" s="1026">
        <f>Q56-R56</f>
        <v/>
      </c>
      <c r="T56" s="678">
        <f>Q56/R56-1</f>
        <v/>
      </c>
      <c r="U56" s="1071" t="n"/>
      <c r="V56" s="1062">
        <f>Q56-U56</f>
        <v/>
      </c>
      <c r="W56" s="678">
        <f>(Q56/U56-1)</f>
        <v/>
      </c>
      <c r="X56" s="1072" t="n"/>
    </row>
    <row r="57" ht="19" customHeight="1" thickBot="1">
      <c r="D57" s="1340" t="inlineStr">
        <is>
          <t>Loyer</t>
        </is>
      </c>
      <c r="E57" s="1349" t="n"/>
      <c r="F57" s="822">
        <f>B51/$D$54</f>
        <v/>
      </c>
      <c r="M57" s="1003" t="n"/>
      <c r="N57" s="1003" t="n"/>
      <c r="O57" s="1003" t="n"/>
      <c r="P57" s="1073" t="inlineStr">
        <is>
          <t>ACTIVITE O&amp;G</t>
        </is>
      </c>
      <c r="Q57" s="1074">
        <f>Q51+Q53+Q54+Q55+Q56</f>
        <v/>
      </c>
      <c r="R57" s="1074">
        <f>R51+R53+R54+R55+R56</f>
        <v/>
      </c>
      <c r="S57" s="1075">
        <f>S51+S53+S54+S55+S56</f>
        <v/>
      </c>
      <c r="T57" s="454">
        <f>Q57/R57-1</f>
        <v/>
      </c>
      <c r="U57" s="1074">
        <f>U51+U53+U54+U55+U56</f>
        <v/>
      </c>
      <c r="V57" s="1075">
        <f>V51+V53+V54+V55+V56</f>
        <v/>
      </c>
      <c r="W57" s="246">
        <f>(Q57/U57-1)</f>
        <v/>
      </c>
      <c r="X57" s="1076" t="n"/>
    </row>
    <row r="58" ht="16" customHeight="1" thickBot="1">
      <c r="D58" s="1342" t="inlineStr">
        <is>
          <t>LOGP</t>
        </is>
      </c>
      <c r="E58" s="1003" t="n"/>
      <c r="F58" s="822">
        <f>C51/$D$54</f>
        <v/>
      </c>
      <c r="M58" s="1003" t="n"/>
      <c r="N58" s="1003" t="n"/>
      <c r="O58" s="1003" t="n"/>
      <c r="P58" s="1317" t="inlineStr">
        <is>
          <t>R25</t>
        </is>
      </c>
      <c r="Q58" s="1006" t="n"/>
      <c r="R58" s="1000" t="inlineStr">
        <is>
          <t>Variation Réel 26 / B26</t>
        </is>
      </c>
      <c r="S58" s="1005" t="n"/>
      <c r="T58" s="1005" t="n"/>
      <c r="U58" s="1461" t="inlineStr">
        <is>
          <t>Variation Réel 26 / Réel 25</t>
        </is>
      </c>
      <c r="V58" s="1005" t="n"/>
      <c r="W58" s="1006" t="n"/>
    </row>
    <row r="59" ht="15" customHeight="1" thickBot="1">
      <c r="D59" s="1345" t="inlineStr">
        <is>
          <t>Rétrocessions</t>
        </is>
      </c>
      <c r="E59" s="1480" t="n"/>
      <c r="F59" s="823">
        <f>D52/$D$54</f>
        <v/>
      </c>
    </row>
    <row r="60" ht="18.5" customHeight="1">
      <c r="D60" s="1003" t="n"/>
      <c r="E60" s="749" t="n"/>
      <c r="R60" s="1343" t="n">
        <v>481904000</v>
      </c>
    </row>
    <row r="62" ht="23.5" customHeight="1">
      <c r="R62" s="1481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2026-06-03T13:58:41Z</dcterms:modified>
  <cp:lastModifiedBy>Diarrassouba Ibrahima (AGL)</cp:lastModifiedBy>
  <cp:lastPrinted>2021-06-02T15:52:48Z</cp:lastPrinted>
</cp:coreProperties>
</file>